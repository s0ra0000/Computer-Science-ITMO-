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ITMO\1st Semester\Computer Science (Basics)\lab5\"/>
    </mc:Choice>
  </mc:AlternateContent>
  <xr:revisionPtr revIDLastSave="0" documentId="13_ncr:1_{D0011CFF-002E-42F4-B4B4-AF840836EB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1" i="1" l="1"/>
  <c r="AD65" i="1"/>
  <c r="AD58" i="1"/>
  <c r="AD44" i="1"/>
  <c r="AD37" i="1"/>
  <c r="AD30" i="1"/>
  <c r="AD23" i="1"/>
  <c r="AB23" i="1"/>
  <c r="Y24" i="1"/>
  <c r="Y59" i="1"/>
  <c r="Y52" i="1"/>
  <c r="Y45" i="1"/>
  <c r="Y38" i="1"/>
  <c r="Y31" i="1"/>
  <c r="Y17" i="1"/>
  <c r="K61" i="1"/>
  <c r="P61" i="1"/>
  <c r="U61" i="1"/>
  <c r="K60" i="1"/>
  <c r="P60" i="1"/>
  <c r="U60" i="1"/>
  <c r="K54" i="1"/>
  <c r="P54" i="1"/>
  <c r="U54" i="1"/>
  <c r="K53" i="1"/>
  <c r="K47" i="1"/>
  <c r="P47" i="1"/>
  <c r="U47" i="1"/>
  <c r="K46" i="1"/>
  <c r="P46" i="1"/>
  <c r="U46" i="1"/>
  <c r="K40" i="1"/>
  <c r="P40" i="1"/>
  <c r="U40" i="1"/>
  <c r="K39" i="1"/>
  <c r="P39" i="1"/>
  <c r="U39" i="1"/>
  <c r="K33" i="1"/>
  <c r="P33" i="1"/>
  <c r="U33" i="1"/>
  <c r="K32" i="1"/>
  <c r="P32" i="1"/>
  <c r="U32" i="1"/>
  <c r="K26" i="1"/>
  <c r="P26" i="1"/>
  <c r="U26" i="1"/>
  <c r="K25" i="1"/>
  <c r="P25" i="1"/>
  <c r="U25" i="1"/>
  <c r="K19" i="1"/>
  <c r="P19" i="1"/>
  <c r="U19" i="1"/>
  <c r="K18" i="1"/>
  <c r="C8" i="1"/>
  <c r="C14" i="1" s="1"/>
  <c r="G14" i="1" s="1"/>
  <c r="G60" i="1" s="1"/>
  <c r="C7" i="1"/>
  <c r="G7" i="1" s="1"/>
  <c r="C6" i="1"/>
  <c r="C12" i="1" s="1"/>
  <c r="G12" i="1" s="1"/>
  <c r="G47" i="1" s="1"/>
  <c r="C5" i="1"/>
  <c r="AG32" i="1" s="1"/>
  <c r="C4" i="1"/>
  <c r="C10" i="1" s="1"/>
  <c r="G10" i="1" s="1"/>
  <c r="O5" i="1" l="1"/>
  <c r="S5" i="1"/>
  <c r="AG25" i="1"/>
  <c r="O14" i="1"/>
  <c r="O10" i="1"/>
  <c r="O6" i="1"/>
  <c r="AG61" i="1"/>
  <c r="O4" i="1"/>
  <c r="O12" i="1"/>
  <c r="O8" i="1"/>
  <c r="AG60" i="1"/>
  <c r="AG63" i="1" s="1"/>
  <c r="O7" i="1"/>
  <c r="N5" i="1"/>
  <c r="AG33" i="1"/>
  <c r="AG35" i="1" s="1"/>
  <c r="I5" i="1"/>
  <c r="I32" i="1" s="1"/>
  <c r="AG53" i="1"/>
  <c r="X5" i="1"/>
  <c r="W5" i="1"/>
  <c r="W19" i="1" s="1"/>
  <c r="R5" i="1"/>
  <c r="R32" i="1" s="1"/>
  <c r="M5" i="1"/>
  <c r="M32" i="1" s="1"/>
  <c r="H5" i="1"/>
  <c r="AG18" i="1"/>
  <c r="AG26" i="1"/>
  <c r="AG28" i="1" s="1"/>
  <c r="V5" i="1"/>
  <c r="Q5" i="1"/>
  <c r="L5" i="1"/>
  <c r="G5" i="1"/>
  <c r="G25" i="1" s="1"/>
  <c r="AG19" i="1"/>
  <c r="AG39" i="1"/>
  <c r="AG47" i="1"/>
  <c r="Y5" i="1"/>
  <c r="Y32" i="1" s="1"/>
  <c r="T5" i="1"/>
  <c r="T25" i="1" s="1"/>
  <c r="J5" i="1"/>
  <c r="J32" i="1" s="1"/>
  <c r="G39" i="1"/>
  <c r="G33" i="1"/>
  <c r="L4" i="1"/>
  <c r="Q4" i="1"/>
  <c r="V4" i="1"/>
  <c r="Y8" i="1"/>
  <c r="T8" i="1"/>
  <c r="J8" i="1"/>
  <c r="Y7" i="1"/>
  <c r="T7" i="1"/>
  <c r="J7" i="1"/>
  <c r="Y6" i="1"/>
  <c r="T6" i="1"/>
  <c r="J6" i="1"/>
  <c r="Y14" i="1"/>
  <c r="Y60" i="1" s="1"/>
  <c r="T14" i="1"/>
  <c r="T60" i="1" s="1"/>
  <c r="J14" i="1"/>
  <c r="J60" i="1" s="1"/>
  <c r="Y12" i="1"/>
  <c r="Y47" i="1" s="1"/>
  <c r="T12" i="1"/>
  <c r="T47" i="1" s="1"/>
  <c r="J12" i="1"/>
  <c r="J47" i="1" s="1"/>
  <c r="Y10" i="1"/>
  <c r="Y33" i="1" s="1"/>
  <c r="T10" i="1"/>
  <c r="T33" i="1" s="1"/>
  <c r="J10" i="1"/>
  <c r="M4" i="1"/>
  <c r="R4" i="1"/>
  <c r="W4" i="1"/>
  <c r="X8" i="1"/>
  <c r="S8" i="1"/>
  <c r="N8" i="1"/>
  <c r="I8" i="1"/>
  <c r="X7" i="1"/>
  <c r="S7" i="1"/>
  <c r="N7" i="1"/>
  <c r="I7" i="1"/>
  <c r="X6" i="1"/>
  <c r="S6" i="1"/>
  <c r="N6" i="1"/>
  <c r="I6" i="1"/>
  <c r="X14" i="1"/>
  <c r="X60" i="1" s="1"/>
  <c r="S14" i="1"/>
  <c r="S60" i="1" s="1"/>
  <c r="N14" i="1"/>
  <c r="N60" i="1" s="1"/>
  <c r="I14" i="1"/>
  <c r="X12" i="1"/>
  <c r="X47" i="1" s="1"/>
  <c r="S12" i="1"/>
  <c r="S47" i="1" s="1"/>
  <c r="N12" i="1"/>
  <c r="N47" i="1" s="1"/>
  <c r="I12" i="1"/>
  <c r="I47" i="1" s="1"/>
  <c r="X10" i="1"/>
  <c r="S10" i="1"/>
  <c r="N10" i="1"/>
  <c r="I10" i="1"/>
  <c r="I4" i="1"/>
  <c r="N4" i="1"/>
  <c r="S4" i="1"/>
  <c r="X4" i="1"/>
  <c r="W8" i="1"/>
  <c r="R8" i="1"/>
  <c r="M8" i="1"/>
  <c r="H8" i="1"/>
  <c r="W7" i="1"/>
  <c r="R7" i="1"/>
  <c r="M7" i="1"/>
  <c r="H7" i="1"/>
  <c r="W6" i="1"/>
  <c r="R6" i="1"/>
  <c r="M6" i="1"/>
  <c r="H6" i="1"/>
  <c r="W14" i="1"/>
  <c r="W60" i="1" s="1"/>
  <c r="R14" i="1"/>
  <c r="R60" i="1" s="1"/>
  <c r="M14" i="1"/>
  <c r="M60" i="1" s="1"/>
  <c r="H14" i="1"/>
  <c r="H60" i="1" s="1"/>
  <c r="W12" i="1"/>
  <c r="W47" i="1" s="1"/>
  <c r="R12" i="1"/>
  <c r="R47" i="1" s="1"/>
  <c r="M12" i="1"/>
  <c r="M47" i="1" s="1"/>
  <c r="H12" i="1"/>
  <c r="H47" i="1" s="1"/>
  <c r="W10" i="1"/>
  <c r="R10" i="1"/>
  <c r="M10" i="1"/>
  <c r="H10" i="1"/>
  <c r="J4" i="1"/>
  <c r="T4" i="1"/>
  <c r="Y4" i="1"/>
  <c r="V8" i="1"/>
  <c r="Q8" i="1"/>
  <c r="L8" i="1"/>
  <c r="G8" i="1"/>
  <c r="V7" i="1"/>
  <c r="Q7" i="1"/>
  <c r="L7" i="1"/>
  <c r="V6" i="1"/>
  <c r="Q6" i="1"/>
  <c r="L6" i="1"/>
  <c r="G6" i="1"/>
  <c r="V14" i="1"/>
  <c r="V60" i="1" s="1"/>
  <c r="Q14" i="1"/>
  <c r="Q60" i="1" s="1"/>
  <c r="L14" i="1"/>
  <c r="L60" i="1" s="1"/>
  <c r="V12" i="1"/>
  <c r="V47" i="1" s="1"/>
  <c r="Q12" i="1"/>
  <c r="Q47" i="1" s="1"/>
  <c r="L12" i="1"/>
  <c r="L47" i="1" s="1"/>
  <c r="V10" i="1"/>
  <c r="Q10" i="1"/>
  <c r="L10" i="1"/>
  <c r="P18" i="1"/>
  <c r="P53" i="1"/>
  <c r="G4" i="1"/>
  <c r="H4" i="1"/>
  <c r="X25" i="1"/>
  <c r="O19" i="1"/>
  <c r="N32" i="1"/>
  <c r="H32" i="1"/>
  <c r="S19" i="1"/>
  <c r="C11" i="1"/>
  <c r="O11" i="1" s="1"/>
  <c r="H19" i="1"/>
  <c r="C9" i="1"/>
  <c r="O9" i="1" s="1"/>
  <c r="C13" i="1"/>
  <c r="O13" i="1" s="1"/>
  <c r="Y39" i="1" l="1"/>
  <c r="T39" i="1"/>
  <c r="I19" i="1"/>
  <c r="G32" i="1"/>
  <c r="X31" i="1"/>
  <c r="Y35" i="1"/>
  <c r="AG21" i="1"/>
  <c r="Y19" i="1"/>
  <c r="G19" i="1"/>
  <c r="Y25" i="1"/>
  <c r="AG40" i="1"/>
  <c r="AG42" i="1" s="1"/>
  <c r="J11" i="1"/>
  <c r="T11" i="1"/>
  <c r="Y11" i="1"/>
  <c r="Y40" i="1" s="1"/>
  <c r="I11" i="1"/>
  <c r="N11" i="1"/>
  <c r="S11" i="1"/>
  <c r="G11" i="1"/>
  <c r="L11" i="1"/>
  <c r="Q11" i="1"/>
  <c r="V11" i="1"/>
  <c r="AG54" i="1"/>
  <c r="AG56" i="1" s="1"/>
  <c r="AG46" i="1"/>
  <c r="AG49" i="1" s="1"/>
  <c r="H11" i="1"/>
  <c r="M11" i="1"/>
  <c r="R11" i="1"/>
  <c r="W11" i="1"/>
  <c r="X11" i="1"/>
  <c r="H39" i="1"/>
  <c r="H33" i="1"/>
  <c r="J33" i="1"/>
  <c r="J39" i="1"/>
  <c r="Q33" i="1"/>
  <c r="Q39" i="1"/>
  <c r="M33" i="1"/>
  <c r="M39" i="1"/>
  <c r="N33" i="1"/>
  <c r="N39" i="1"/>
  <c r="C15" i="1"/>
  <c r="O15" i="1" s="1"/>
  <c r="G9" i="1"/>
  <c r="L9" i="1"/>
  <c r="Q9" i="1"/>
  <c r="V9" i="1"/>
  <c r="H9" i="1"/>
  <c r="M9" i="1"/>
  <c r="R9" i="1"/>
  <c r="W9" i="1"/>
  <c r="I9" i="1"/>
  <c r="N9" i="1"/>
  <c r="S9" i="1"/>
  <c r="X9" i="1"/>
  <c r="J9" i="1"/>
  <c r="T9" i="1"/>
  <c r="Y9" i="1"/>
  <c r="L39" i="1"/>
  <c r="L33" i="1"/>
  <c r="V33" i="1"/>
  <c r="V39" i="1"/>
  <c r="R33" i="1"/>
  <c r="R39" i="1"/>
  <c r="S33" i="1"/>
  <c r="S39" i="1"/>
  <c r="I33" i="1"/>
  <c r="I39" i="1"/>
  <c r="O47" i="1"/>
  <c r="I60" i="1"/>
  <c r="O60" i="1"/>
  <c r="Y13" i="1"/>
  <c r="T13" i="1"/>
  <c r="J13" i="1"/>
  <c r="X13" i="1"/>
  <c r="S13" i="1"/>
  <c r="N13" i="1"/>
  <c r="I13" i="1"/>
  <c r="W13" i="1"/>
  <c r="R13" i="1"/>
  <c r="M13" i="1"/>
  <c r="H13" i="1"/>
  <c r="V13" i="1"/>
  <c r="Q13" i="1"/>
  <c r="L13" i="1"/>
  <c r="G13" i="1"/>
  <c r="W33" i="1"/>
  <c r="W39" i="1"/>
  <c r="X39" i="1"/>
  <c r="X33" i="1"/>
  <c r="W18" i="1"/>
  <c r="Q53" i="1"/>
  <c r="R53" i="1"/>
  <c r="O32" i="1"/>
  <c r="O25" i="1"/>
  <c r="H25" i="1"/>
  <c r="X32" i="1"/>
  <c r="I25" i="1"/>
  <c r="T19" i="1"/>
  <c r="S32" i="1"/>
  <c r="S25" i="1"/>
  <c r="X19" i="1"/>
  <c r="R25" i="1"/>
  <c r="T32" i="1"/>
  <c r="R19" i="1"/>
  <c r="N26" i="1"/>
  <c r="N61" i="1"/>
  <c r="M18" i="1"/>
  <c r="M53" i="1"/>
  <c r="M26" i="1"/>
  <c r="M61" i="1"/>
  <c r="S18" i="1"/>
  <c r="S53" i="1"/>
  <c r="O26" i="1"/>
  <c r="O61" i="1"/>
  <c r="T26" i="1"/>
  <c r="T61" i="1"/>
  <c r="Y26" i="1"/>
  <c r="X24" i="1" s="1"/>
  <c r="Y61" i="1"/>
  <c r="Y63" i="1" s="1"/>
  <c r="J26" i="1"/>
  <c r="J61" i="1"/>
  <c r="S26" i="1"/>
  <c r="S61" i="1"/>
  <c r="H18" i="1"/>
  <c r="H53" i="1"/>
  <c r="V26" i="1"/>
  <c r="V61" i="1"/>
  <c r="O18" i="1"/>
  <c r="O53" i="1"/>
  <c r="R26" i="1"/>
  <c r="R61" i="1"/>
  <c r="N18" i="1"/>
  <c r="N53" i="1"/>
  <c r="G26" i="1"/>
  <c r="G61" i="1"/>
  <c r="J18" i="1"/>
  <c r="J53" i="1"/>
  <c r="W26" i="1"/>
  <c r="W61" i="1"/>
  <c r="I18" i="1"/>
  <c r="I53" i="1"/>
  <c r="Q26" i="1"/>
  <c r="Q61" i="1"/>
  <c r="T18" i="1"/>
  <c r="T53" i="1"/>
  <c r="X26" i="1"/>
  <c r="X61" i="1"/>
  <c r="I26" i="1"/>
  <c r="I61" i="1"/>
  <c r="R18" i="1"/>
  <c r="L26" i="1"/>
  <c r="L61" i="1"/>
  <c r="H26" i="1"/>
  <c r="H61" i="1"/>
  <c r="X18" i="1"/>
  <c r="X53" i="1"/>
  <c r="L18" i="1"/>
  <c r="L53" i="1"/>
  <c r="G18" i="1"/>
  <c r="G53" i="1"/>
  <c r="Q18" i="1"/>
  <c r="M25" i="1"/>
  <c r="J25" i="1"/>
  <c r="J19" i="1"/>
  <c r="W32" i="1"/>
  <c r="W25" i="1"/>
  <c r="N25" i="1"/>
  <c r="M19" i="1"/>
  <c r="N19" i="1"/>
  <c r="L25" i="1"/>
  <c r="L19" i="1"/>
  <c r="L32" i="1"/>
  <c r="Q32" i="1"/>
  <c r="Q25" i="1"/>
  <c r="Q19" i="1"/>
  <c r="V32" i="1"/>
  <c r="V25" i="1"/>
  <c r="V19" i="1"/>
  <c r="X38" i="1" l="1"/>
  <c r="W24" i="1"/>
  <c r="V24" i="1" s="1"/>
  <c r="T24" i="1" s="1"/>
  <c r="S24" i="1" s="1"/>
  <c r="R24" i="1" s="1"/>
  <c r="Q24" i="1" s="1"/>
  <c r="O24" i="1" s="1"/>
  <c r="N24" i="1" s="1"/>
  <c r="M24" i="1" s="1"/>
  <c r="L24" i="1" s="1"/>
  <c r="J24" i="1" s="1"/>
  <c r="I24" i="1" s="1"/>
  <c r="H24" i="1" s="1"/>
  <c r="G24" i="1" s="1"/>
  <c r="Y42" i="1"/>
  <c r="W31" i="1"/>
  <c r="X35" i="1"/>
  <c r="X59" i="1"/>
  <c r="Y28" i="1"/>
  <c r="R40" i="1"/>
  <c r="R54" i="1"/>
  <c r="R46" i="1"/>
  <c r="G46" i="1"/>
  <c r="G54" i="1"/>
  <c r="G40" i="1"/>
  <c r="Y54" i="1"/>
  <c r="Y46" i="1"/>
  <c r="M40" i="1"/>
  <c r="M46" i="1"/>
  <c r="M54" i="1"/>
  <c r="V54" i="1"/>
  <c r="V40" i="1"/>
  <c r="V46" i="1"/>
  <c r="S46" i="1"/>
  <c r="S54" i="1"/>
  <c r="S40" i="1"/>
  <c r="T40" i="1"/>
  <c r="T54" i="1"/>
  <c r="T46" i="1"/>
  <c r="X40" i="1"/>
  <c r="X46" i="1"/>
  <c r="X54" i="1"/>
  <c r="H54" i="1"/>
  <c r="H40" i="1"/>
  <c r="H46" i="1"/>
  <c r="Q54" i="1"/>
  <c r="Q46" i="1"/>
  <c r="Q40" i="1"/>
  <c r="N54" i="1"/>
  <c r="N40" i="1"/>
  <c r="N46" i="1"/>
  <c r="J46" i="1"/>
  <c r="J54" i="1"/>
  <c r="J40" i="1"/>
  <c r="W46" i="1"/>
  <c r="W40" i="1"/>
  <c r="W54" i="1"/>
  <c r="L46" i="1"/>
  <c r="L40" i="1"/>
  <c r="L54" i="1"/>
  <c r="I54" i="1"/>
  <c r="I40" i="1"/>
  <c r="I46" i="1"/>
  <c r="G15" i="1"/>
  <c r="L15" i="1"/>
  <c r="Q15" i="1"/>
  <c r="V15" i="1"/>
  <c r="H15" i="1"/>
  <c r="M15" i="1"/>
  <c r="R15" i="1"/>
  <c r="W15" i="1"/>
  <c r="I15" i="1"/>
  <c r="N15" i="1"/>
  <c r="S15" i="1"/>
  <c r="X15" i="1"/>
  <c r="J15" i="1"/>
  <c r="T15" i="1"/>
  <c r="Y15" i="1"/>
  <c r="O39" i="1"/>
  <c r="O33" i="1"/>
  <c r="W53" i="1"/>
  <c r="U18" i="1"/>
  <c r="U53" i="1"/>
  <c r="X42" i="1" l="1"/>
  <c r="Y49" i="1"/>
  <c r="X45" i="1"/>
  <c r="W38" i="1"/>
  <c r="W42" i="1" s="1"/>
  <c r="X28" i="1"/>
  <c r="W59" i="1"/>
  <c r="X63" i="1"/>
  <c r="V31" i="1"/>
  <c r="W35" i="1"/>
  <c r="O54" i="1"/>
  <c r="O40" i="1"/>
  <c r="O46" i="1"/>
  <c r="Y18" i="1"/>
  <c r="Y53" i="1"/>
  <c r="V53" i="1"/>
  <c r="V18" i="1"/>
  <c r="V38" i="1" l="1"/>
  <c r="T38" i="1" s="1"/>
  <c r="W45" i="1"/>
  <c r="X49" i="1"/>
  <c r="V59" i="1"/>
  <c r="W63" i="1"/>
  <c r="Y56" i="1"/>
  <c r="X52" i="1"/>
  <c r="X17" i="1"/>
  <c r="Y21" i="1"/>
  <c r="T31" i="1"/>
  <c r="V35" i="1"/>
  <c r="W28" i="1"/>
  <c r="V42" i="1" l="1"/>
  <c r="V45" i="1"/>
  <c r="W49" i="1"/>
  <c r="S38" i="1"/>
  <c r="T44" i="1"/>
  <c r="T42" i="1"/>
  <c r="W17" i="1"/>
  <c r="X21" i="1"/>
  <c r="X56" i="1"/>
  <c r="W52" i="1"/>
  <c r="V28" i="1"/>
  <c r="S31" i="1"/>
  <c r="T37" i="1"/>
  <c r="T35" i="1"/>
  <c r="T59" i="1"/>
  <c r="V63" i="1"/>
  <c r="T45" i="1" l="1"/>
  <c r="V49" i="1"/>
  <c r="T30" i="1"/>
  <c r="T28" i="1"/>
  <c r="S59" i="1"/>
  <c r="T65" i="1"/>
  <c r="T63" i="1"/>
  <c r="V17" i="1"/>
  <c r="W21" i="1"/>
  <c r="W56" i="1"/>
  <c r="V52" i="1"/>
  <c r="R31" i="1"/>
  <c r="S35" i="1"/>
  <c r="R38" i="1"/>
  <c r="S42" i="1"/>
  <c r="T51" i="1" l="1"/>
  <c r="S45" i="1"/>
  <c r="T49" i="1"/>
  <c r="Q38" i="1"/>
  <c r="R42" i="1"/>
  <c r="T17" i="1"/>
  <c r="V21" i="1"/>
  <c r="T52" i="1"/>
  <c r="V56" i="1"/>
  <c r="R59" i="1"/>
  <c r="S63" i="1"/>
  <c r="Q31" i="1"/>
  <c r="R35" i="1"/>
  <c r="S28" i="1"/>
  <c r="R45" i="1" l="1"/>
  <c r="S49" i="1"/>
  <c r="O31" i="1"/>
  <c r="Q35" i="1"/>
  <c r="O37" i="1" s="1" a="1"/>
  <c r="O37" i="1" s="1"/>
  <c r="Q59" i="1"/>
  <c r="R63" i="1"/>
  <c r="T23" i="1"/>
  <c r="S17" i="1"/>
  <c r="T21" i="1"/>
  <c r="R28" i="1"/>
  <c r="T58" i="1"/>
  <c r="T56" i="1"/>
  <c r="S52" i="1"/>
  <c r="O38" i="1"/>
  <c r="Q42" i="1"/>
  <c r="O44" i="1" s="1" a="1"/>
  <c r="O44" i="1" s="1"/>
  <c r="R49" i="1" l="1"/>
  <c r="Q45" i="1"/>
  <c r="O59" i="1"/>
  <c r="Q63" i="1"/>
  <c r="O65" i="1" s="1" a="1"/>
  <c r="O65" i="1" s="1"/>
  <c r="Q28" i="1"/>
  <c r="O30" i="1" s="1" a="1"/>
  <c r="O30" i="1" s="1"/>
  <c r="N38" i="1"/>
  <c r="O42" i="1"/>
  <c r="S56" i="1"/>
  <c r="R52" i="1"/>
  <c r="R17" i="1"/>
  <c r="S21" i="1"/>
  <c r="N31" i="1"/>
  <c r="O35" i="1"/>
  <c r="Q49" i="1" l="1"/>
  <c r="O51" i="1" s="1" a="1"/>
  <c r="O51" i="1" s="1"/>
  <c r="O45" i="1"/>
  <c r="Q17" i="1"/>
  <c r="R21" i="1"/>
  <c r="O28" i="1"/>
  <c r="Q52" i="1"/>
  <c r="R56" i="1"/>
  <c r="M31" i="1"/>
  <c r="N35" i="1"/>
  <c r="M38" i="1"/>
  <c r="N42" i="1"/>
  <c r="N59" i="1"/>
  <c r="O63" i="1"/>
  <c r="O49" i="1" l="1"/>
  <c r="N45" i="1"/>
  <c r="L38" i="1"/>
  <c r="M42" i="1"/>
  <c r="L31" i="1"/>
  <c r="M35" i="1"/>
  <c r="N28" i="1"/>
  <c r="M59" i="1"/>
  <c r="N63" i="1"/>
  <c r="O52" i="1"/>
  <c r="Q56" i="1"/>
  <c r="O58" i="1" s="1" a="1"/>
  <c r="O58" i="1" s="1"/>
  <c r="O17" i="1"/>
  <c r="O21" i="1" s="1"/>
  <c r="Q21" i="1"/>
  <c r="O23" i="1" s="1" a="1"/>
  <c r="O23" i="1" s="1"/>
  <c r="M45" i="1" l="1"/>
  <c r="N49" i="1"/>
  <c r="N52" i="1"/>
  <c r="O56" i="1"/>
  <c r="L59" i="1"/>
  <c r="M63" i="1"/>
  <c r="J31" i="1"/>
  <c r="L35" i="1"/>
  <c r="N17" i="1"/>
  <c r="M28" i="1"/>
  <c r="J38" i="1"/>
  <c r="L42" i="1"/>
  <c r="M49" i="1" l="1"/>
  <c r="L45" i="1"/>
  <c r="M17" i="1"/>
  <c r="N21" i="1"/>
  <c r="J59" i="1"/>
  <c r="L63" i="1"/>
  <c r="I38" i="1"/>
  <c r="J42" i="1"/>
  <c r="L28" i="1"/>
  <c r="I31" i="1"/>
  <c r="J35" i="1"/>
  <c r="M52" i="1"/>
  <c r="N56" i="1"/>
  <c r="J45" i="1" l="1"/>
  <c r="L49" i="1"/>
  <c r="H31" i="1"/>
  <c r="I35" i="1"/>
  <c r="H38" i="1"/>
  <c r="I42" i="1"/>
  <c r="L17" i="1"/>
  <c r="M21" i="1"/>
  <c r="L52" i="1"/>
  <c r="M56" i="1"/>
  <c r="J28" i="1"/>
  <c r="I59" i="1"/>
  <c r="J63" i="1"/>
  <c r="I45" i="1" l="1"/>
  <c r="J49" i="1"/>
  <c r="H59" i="1"/>
  <c r="I63" i="1"/>
  <c r="J52" i="1"/>
  <c r="L56" i="1"/>
  <c r="G38" i="1"/>
  <c r="H42" i="1"/>
  <c r="I28" i="1"/>
  <c r="J17" i="1"/>
  <c r="J21" i="1" s="1"/>
  <c r="L21" i="1"/>
  <c r="G31" i="1"/>
  <c r="H35" i="1"/>
  <c r="I49" i="1" l="1"/>
  <c r="H45" i="1"/>
  <c r="I17" i="1"/>
  <c r="I52" i="1"/>
  <c r="J56" i="1"/>
  <c r="J37" i="1"/>
  <c r="G35" i="1"/>
  <c r="H28" i="1"/>
  <c r="J44" i="1"/>
  <c r="G42" i="1"/>
  <c r="G59" i="1"/>
  <c r="H63" i="1"/>
  <c r="G45" i="1" l="1"/>
  <c r="H49" i="1"/>
  <c r="J65" i="1"/>
  <c r="G63" i="1"/>
  <c r="J30" i="1"/>
  <c r="G28" i="1"/>
  <c r="H52" i="1"/>
  <c r="I56" i="1"/>
  <c r="AA42" i="1"/>
  <c r="Y44" i="1" a="1"/>
  <c r="Y44" i="1" s="1"/>
  <c r="AB44" i="1"/>
  <c r="AA35" i="1"/>
  <c r="Y37" i="1" a="1"/>
  <c r="Y37" i="1" s="1"/>
  <c r="AB37" i="1"/>
  <c r="H17" i="1"/>
  <c r="I21" i="1"/>
  <c r="G49" i="1" l="1"/>
  <c r="J51" i="1"/>
  <c r="G17" i="1"/>
  <c r="H21" i="1"/>
  <c r="G52" i="1"/>
  <c r="H56" i="1"/>
  <c r="AA28" i="1"/>
  <c r="AB30" i="1"/>
  <c r="Y30" i="1" a="1"/>
  <c r="Y30" i="1" s="1"/>
  <c r="AA63" i="1"/>
  <c r="Y65" i="1" a="1"/>
  <c r="Y65" i="1" s="1"/>
  <c r="AB65" i="1"/>
  <c r="AB51" i="1" l="1"/>
  <c r="Y51" i="1" a="1"/>
  <c r="Y51" i="1" s="1"/>
  <c r="AA49" i="1"/>
  <c r="J58" i="1"/>
  <c r="G56" i="1"/>
  <c r="J23" i="1"/>
  <c r="G21" i="1"/>
  <c r="AA56" i="1" l="1"/>
  <c r="AB58" i="1"/>
  <c r="Y58" i="1" a="1"/>
  <c r="Y58" i="1" s="1"/>
  <c r="AA21" i="1"/>
  <c r="Y23" i="1" a="1"/>
  <c r="Y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<sst xmlns="http://schemas.openxmlformats.org/spreadsheetml/2006/main" count="395" uniqueCount="77">
  <si>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</si>
  <si>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</si>
  <si>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</si>
  <si>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</si>
  <si>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</si>
  <si>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</si>
  <si>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</si>
  <si>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</si>
  <si>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</si>
  <si>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</si>
  <si>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</si>
  <si>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</si>
  <si>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</si>
  <si>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</si>
  <si>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 + C =</t>
  </si>
  <si>
    <t>A + C + C =</t>
  </si>
  <si>
    <t>C  - A=</t>
  </si>
  <si>
    <t>65536 - X4 =</t>
  </si>
  <si>
    <t>-X1=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</si>
  <si>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</si>
  <si>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</si>
  <si>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</si>
  <si>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</si>
  <si>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</si>
  <si>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</si>
  <si>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</si>
  <si>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</si>
  <si>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</si>
  <si>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</si>
  <si>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B12=</t>
  </si>
  <si>
    <t>B11=</t>
  </si>
  <si>
    <t>B10=</t>
  </si>
  <si>
    <t>B9=</t>
  </si>
  <si>
    <t>B8=</t>
  </si>
  <si>
    <t>B7=</t>
  </si>
  <si>
    <t>B6=</t>
  </si>
  <si>
    <t>-B1=</t>
  </si>
  <si>
    <t>-B2=</t>
  </si>
  <si>
    <t>-B3=</t>
  </si>
  <si>
    <t>-B4=</t>
  </si>
  <si>
    <t>-B5=</t>
  </si>
  <si>
    <t>-B6=</t>
  </si>
  <si>
    <t>.</t>
  </si>
  <si>
    <t>B1</t>
  </si>
  <si>
    <t>B2</t>
  </si>
  <si>
    <t>------</t>
  </si>
  <si>
    <t>--</t>
  </si>
  <si>
    <t xml:space="preserve">CF = </t>
  </si>
  <si>
    <t>+</t>
  </si>
  <si>
    <t>B3</t>
  </si>
  <si>
    <t>B7</t>
  </si>
  <si>
    <t>B8</t>
  </si>
  <si>
    <t>B9</t>
  </si>
  <si>
    <t>B11</t>
  </si>
  <si>
    <t xml:space="preserve">PF = </t>
  </si>
  <si>
    <t xml:space="preserve">AF = </t>
  </si>
  <si>
    <t>ZF =</t>
  </si>
  <si>
    <t xml:space="preserve">SF = </t>
  </si>
  <si>
    <t xml:space="preserve">OF = </t>
  </si>
  <si>
    <t>X1</t>
  </si>
  <si>
    <t>X2</t>
  </si>
  <si>
    <t>-----</t>
  </si>
  <si>
    <t>----------</t>
  </si>
  <si>
    <t>(10)</t>
  </si>
  <si>
    <t>X3</t>
  </si>
  <si>
    <t>X7</t>
  </si>
  <si>
    <t>X8</t>
  </si>
  <si>
    <t>X9</t>
  </si>
  <si>
    <t>X11</t>
  </si>
  <si>
    <t>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</si>
  <si>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</si>
  <si>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</si>
  <si>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</si>
  <si>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не верный и не корректный,не совпадает с суммой десятичных эквивалентов.</t>
  </si>
  <si>
    <t>При сложении двух положительных слагаемых получено отрицательное число. Результат выполнения операции не верный и не корректный, не совпадает с суммой десятичных эквивалентов.</t>
  </si>
  <si>
    <t>При сложении положительного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</si>
  <si>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отрицательного и положительного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</si>
</sst>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Segoe UI"/>
      <family val="2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/>
    <xf numFmtId="0" fontId="2" fillId="0" borderId="0" xfId="0" applyFont="1"/>
    <xf numFmtId="164" fontId="0" fillId="0" borderId="0" xfId="0" applyNumberFormat="1"/>
    <xf numFmtId="49" fontId="0" fillId="0" borderId="0" xfId="0" applyNumberFormat="1"/>
    <xf numFmtId="49" fontId="3" fillId="0" borderId="0" xfId="0" applyNumberFormat="1" applyFont="1"/>
    <xf numFmtId="0" fontId="1" fillId="0" borderId="0" xfId="0" applyFont="1" applyFill="1" applyBorder="1" applyProtection="1">
      <protection locked="0" hidden="1"/>
    </xf>
    <xf numFmtId="0" fontId="0" fillId="0" borderId="0" xfId="0" applyAlignment="1"/>
    <xf numFmtId="0" fontId="0" fillId="0" borderId="0" xfId="0" quotePrefix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top" wrapText="1"/>
    </xf>
  </cellXfs>
  <cellStyles count="1">
    <cellStyle name="Normal" xfId="0" builtinId="0"/>
  </cellStyles>
  <dxfs count="2">
    <dxf>
      <font>
        <color rgb="FFFFFFFF"/>
      </font>
      <fill>
        <patternFill>
          <bgColor rgb="FF4472C4"/>
        </patternFill>
      </fill>
    </dxf>
    <dxf>
      <font>
        <color rgb="FFFFFFFF"/>
      </font>
      <fill>
        <patternFill>
          <bgColor rgb="FF70AD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13-47B9-BE1F-C23900D13EDD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13-47B9-BE1F-C23900D13EDD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13-47B9-BE1F-C23900D13EDD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13-47B9-BE1F-C23900D13EDD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13-47B9-BE1F-C23900D13EDD}"/>
              </c:ext>
            </c:extLst>
          </c:dPt>
          <c:dPt>
            <c:idx val="5"/>
            <c:bubble3D val="0"/>
            <c:explosion val="2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DC-4681-AD27-D85CA5E0D9D6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13-47B9-BE1F-C23900D13EDD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13-47B9-BE1F-C23900D13EDD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13-47B9-BE1F-C23900D13EDD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13-47B9-BE1F-C23900D13EDD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13-47B9-BE1F-C23900D13EDD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13-47B9-BE1F-C23900D13E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Sheet1!$C$4:$C$15</c:f>
              <c:numCache>
                <c:formatCode>General</c:formatCode>
                <c:ptCount val="12"/>
                <c:pt idx="0">
                  <c:v>16081</c:v>
                </c:pt>
                <c:pt idx="1">
                  <c:v>16487</c:v>
                </c:pt>
                <c:pt idx="2">
                  <c:v>32568</c:v>
                </c:pt>
                <c:pt idx="3">
                  <c:v>49055</c:v>
                </c:pt>
                <c:pt idx="4">
                  <c:v>406</c:v>
                </c:pt>
                <c:pt idx="5">
                  <c:v>16481</c:v>
                </c:pt>
                <c:pt idx="6">
                  <c:v>-16081</c:v>
                </c:pt>
                <c:pt idx="7">
                  <c:v>-16487</c:v>
                </c:pt>
                <c:pt idx="8">
                  <c:v>-32568</c:v>
                </c:pt>
                <c:pt idx="9">
                  <c:v>-49055</c:v>
                </c:pt>
                <c:pt idx="10">
                  <c:v>-406</c:v>
                </c:pt>
                <c:pt idx="11">
                  <c:v>-16481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C-4681-AD27-D85CA5E0D9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185737</xdr:rowOff>
    </xdr:from>
    <xdr:to>
      <xdr:col>4</xdr:col>
      <xdr:colOff>190500</xdr:colOff>
      <xdr:row>15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4C7FF2-3DC6-4B7D-885D-CEC92D66A2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83"/>
  <sheetViews>
    <sheetView tabSelected="1" view="pageLayout" topLeftCell="A37" zoomScaleNormal="95" zoomScaleSheetLayoutView="95" workbookViewId="0">
      <selection activeCell="AD58" sqref="AD58"/>
    </sheetView>
  </sheetViews>
  <sheetFormatPr defaultRowHeight="15" x14ac:dyDescent="0.25"/>
  <cols>
    <col min="1" max="1" width="5.28515625" customWidth="1"/>
    <col min="2" max="2" width="11.140625" bestFit="1" customWidth="1"/>
    <col min="3" max="3" width="7" bestFit="1" customWidth="1"/>
    <col min="4" max="4" width="2" bestFit="1" customWidth="1"/>
    <col min="5" max="5" width="5.140625" bestFit="1" customWidth="1"/>
    <col min="6" max="6" width="4.85546875" bestFit="1" customWidth="1"/>
    <col min="7" max="7" width="2.140625" bestFit="1" customWidth="1"/>
    <col min="8" max="8" width="1.85546875" customWidth="1"/>
    <col min="9" max="10" width="2.140625" bestFit="1" customWidth="1"/>
    <col min="11" max="11" width="2" bestFit="1" customWidth="1"/>
    <col min="12" max="12" width="2.140625" bestFit="1" customWidth="1"/>
    <col min="13" max="13" width="2" customWidth="1"/>
    <col min="14" max="15" width="2.140625" bestFit="1" customWidth="1"/>
    <col min="16" max="16" width="1.85546875" customWidth="1"/>
    <col min="17" max="19" width="2.140625" bestFit="1" customWidth="1"/>
    <col min="20" max="20" width="1.85546875" customWidth="1"/>
    <col min="21" max="21" width="2" bestFit="1" customWidth="1"/>
    <col min="22" max="24" width="2.140625" bestFit="1" customWidth="1"/>
    <col min="25" max="25" width="2" customWidth="1"/>
    <col min="26" max="26" width="3.42578125" customWidth="1"/>
    <col min="27" max="27" width="6.85546875" bestFit="1" customWidth="1"/>
    <col min="28" max="28" width="2" bestFit="1" customWidth="1"/>
    <col min="29" max="29" width="7.140625" customWidth="1"/>
    <col min="30" max="30" width="2.140625" bestFit="1" customWidth="1"/>
    <col min="31" max="31" width="4.5703125" style="1" bestFit="1" customWidth="1"/>
    <col min="32" max="32" width="3.7109375" customWidth="1"/>
    <col min="33" max="33" width="8.140625" customWidth="1"/>
    <col min="34" max="34" width="5.28515625" customWidth="1"/>
    <col min="35" max="35" width="2.42578125" customWidth="1"/>
    <col min="36" max="36" width="60.5703125" customWidth="1"/>
    <col min="37" max="37" width="4.140625" customWidth="1"/>
    <col min="38" max="38" width="2" customWidth="1"/>
    <col min="39" max="39" width="1.85546875" customWidth="1"/>
    <col min="40" max="40" width="1.7109375" customWidth="1"/>
    <col min="41" max="41" width="1.85546875" customWidth="1"/>
    <col min="42" max="42" width="2.42578125" bestFit="1" customWidth="1"/>
    <col min="43" max="43" width="2" customWidth="1"/>
    <col min="44" max="44" width="1.7109375" customWidth="1"/>
    <col min="45" max="47" width="2.42578125" bestFit="1" customWidth="1"/>
    <col min="48" max="48" width="2" customWidth="1"/>
    <col min="49" max="49" width="2.28515625" customWidth="1"/>
    <col min="50" max="50" width="2.42578125" bestFit="1" customWidth="1"/>
    <col min="51" max="51" width="2" customWidth="1"/>
    <col min="52" max="52" width="1.7109375" customWidth="1"/>
    <col min="53" max="53" width="1.85546875" customWidth="1"/>
    <col min="54" max="54" width="2" customWidth="1"/>
    <col min="55" max="55" width="2.140625" customWidth="1"/>
    <col min="56" max="56" width="1.7109375" customWidth="1"/>
    <col min="57" max="57" width="2" bestFit="1" customWidth="1"/>
    <col min="58" max="58" width="6.42578125" customWidth="1"/>
    <col min="59" max="59" width="2" bestFit="1" customWidth="1"/>
    <col min="60" max="60" width="5.28515625" bestFit="1" customWidth="1"/>
    <col min="61" max="61" width="2" bestFit="1" customWidth="1"/>
    <col min="62" max="62" width="5" customWidth="1"/>
    <col min="63" max="63" width="3.85546875" customWidth="1"/>
    <col min="64" max="64" width="7.140625" customWidth="1"/>
  </cols>
  <sheetData>
    <row r="1" spans="1:27" x14ac:dyDescent="0.25">
      <c r="B1" s="1" t="s">
        <v>0</v>
      </c>
      <c r="C1">
        <v>16081</v>
      </c>
    </row>
    <row r="2" spans="1:27" x14ac:dyDescent="0.25">
      <c r="B2" s="1" t="s">
        <v>13</v>
      </c>
      <c r="C2">
        <v>16487</v>
      </c>
    </row>
    <row r="3" spans="1:27" x14ac:dyDescent="0.25">
      <c r="B3" s="1"/>
    </row>
    <row r="4" spans="1:27" x14ac:dyDescent="0.25">
      <c r="A4" s="1" t="s">
        <v>1</v>
      </c>
      <c r="B4" s="1" t="s">
        <v>0</v>
      </c>
      <c r="C4">
        <f>C1</f>
        <v>16081</v>
      </c>
      <c r="E4" s="1" t="s">
        <v>24</v>
      </c>
      <c r="F4" s="3"/>
      <c r="G4" t="str">
        <f>LEFT(RIGHT(_xlfn.BASE(C4+2^16,2),16),1)</f>
        <v>0</v>
      </c>
      <c r="H4" t="str">
        <f>LEFT(RIGHT(_xlfn.BASE(C4+2^16,2),15),1)</f>
        <v>0</v>
      </c>
      <c r="I4" t="str">
        <f>LEFT(RIGHT(_xlfn.BASE(C4+2^16,2),14),1)</f>
        <v>1</v>
      </c>
      <c r="J4" t="str">
        <f>LEFT(RIGHT(_xlfn.BASE(C4+2^16,2),13),1)</f>
        <v>1</v>
      </c>
      <c r="K4" t="s">
        <v>42</v>
      </c>
      <c r="L4" t="str">
        <f>LEFT(RIGHT(_xlfn.BASE(C4+2^16,2),12),1)</f>
        <v>1</v>
      </c>
      <c r="M4" t="str">
        <f>LEFT(RIGHT(_xlfn.BASE(C4+2^16,2),11),1)</f>
        <v>1</v>
      </c>
      <c r="N4" t="str">
        <f>LEFT(RIGHT(_xlfn.BASE(C4+2^16,2),10),1)</f>
        <v>1</v>
      </c>
      <c r="O4" t="str">
        <f>LEFT(RIGHT(_xlfn.BASE(C4+2^16,2),9),1)</f>
        <v>0</v>
      </c>
      <c r="P4" t="s">
        <v>42</v>
      </c>
      <c r="Q4" t="str">
        <f>LEFT(RIGHT(_xlfn.BASE(C4+2^16,2),8),1)</f>
        <v>1</v>
      </c>
      <c r="R4" t="str">
        <f>LEFT(RIGHT(_xlfn.BASE(C4+2^16,2),7),1)</f>
        <v>1</v>
      </c>
      <c r="S4" t="str">
        <f>LEFT(RIGHT(_xlfn.BASE(C4+2^16,2),6),1)</f>
        <v>0</v>
      </c>
      <c r="T4" t="str">
        <f>LEFT(RIGHT(_xlfn.BASE(C4+2^16,2),5),1)</f>
        <v>1</v>
      </c>
      <c r="U4" t="s">
        <v>42</v>
      </c>
      <c r="V4" t="str">
        <f>LEFT(RIGHT(_xlfn.BASE(C4+2^16,2),4),1)</f>
        <v>0</v>
      </c>
      <c r="W4" t="str">
        <f>LEFT(RIGHT(_xlfn.BASE(C4+2^16,2),3),1)</f>
        <v>0</v>
      </c>
      <c r="X4" t="str">
        <f>LEFT(RIGHT(_xlfn.BASE(C4+2^16,2),2),1)</f>
        <v>0</v>
      </c>
      <c r="Y4" t="str">
        <f>LEFT(RIGHT(_xlfn.BASE(C4+2^16,2),1),1)</f>
        <v>1</v>
      </c>
    </row>
    <row r="5" spans="1:27" x14ac:dyDescent="0.25">
      <c r="A5" s="1" t="s">
        <v>2</v>
      </c>
      <c r="B5" s="1" t="s">
        <v>13</v>
      </c>
      <c r="C5">
        <f>C2</f>
        <v>16487</v>
      </c>
      <c r="E5" s="1" t="s">
        <v>25</v>
      </c>
      <c r="F5" s="3"/>
      <c r="G5" t="str">
        <f>LEFT(RIGHT(_xlfn.BASE(C5+2^16,2),16),1)</f>
        <v>0</v>
      </c>
      <c r="H5" t="str">
        <f>LEFT(RIGHT(_xlfn.BASE(C5+2^16,2),15),1)</f>
        <v>1</v>
      </c>
      <c r="I5" t="str">
        <f>LEFT(RIGHT(_xlfn.BASE(C5+2^16,2),14),1)</f>
        <v>0</v>
      </c>
      <c r="J5" t="str">
        <f>LEFT(RIGHT(_xlfn.BASE(C5+2^16,2),13),1)</f>
        <v>0</v>
      </c>
      <c r="K5" t="s">
        <v>42</v>
      </c>
      <c r="L5" t="str">
        <f>LEFT(RIGHT(_xlfn.BASE(C5+2^16,2),12),1)</f>
        <v>0</v>
      </c>
      <c r="M5" t="str">
        <f>LEFT(RIGHT(_xlfn.BASE(C5+2^16,2),11),1)</f>
        <v>0</v>
      </c>
      <c r="N5" t="str">
        <f>LEFT(RIGHT(_xlfn.BASE(C5+2^16,2),10),1)</f>
        <v>0</v>
      </c>
      <c r="O5" t="str">
        <f>LEFT(RIGHT(_xlfn.BASE(C5+2^16,2),9),1)</f>
        <v>0</v>
      </c>
      <c r="P5" t="s">
        <v>42</v>
      </c>
      <c r="Q5" t="str">
        <f>LEFT(RIGHT(_xlfn.BASE(C5+2^16,2),8),1)</f>
        <v>0</v>
      </c>
      <c r="R5" t="str">
        <f>LEFT(RIGHT(_xlfn.BASE(C5+2^16,2),7),1)</f>
        <v>1</v>
      </c>
      <c r="S5" t="str">
        <f>LEFT(RIGHT(_xlfn.BASE(C5+2^16,2),6),1)</f>
        <v>1</v>
      </c>
      <c r="T5" t="str">
        <f>LEFT(RIGHT(_xlfn.BASE(C5+2^16,2),5),1)</f>
        <v>0</v>
      </c>
      <c r="U5" t="s">
        <v>42</v>
      </c>
      <c r="V5" t="str">
        <f>LEFT(RIGHT(_xlfn.BASE(C5+2^16,2),4),1)</f>
        <v>0</v>
      </c>
      <c r="W5" t="str">
        <f>LEFT(RIGHT(_xlfn.BASE(C5+2^16,2),3),1)</f>
        <v>1</v>
      </c>
      <c r="X5" t="str">
        <f>LEFT(RIGHT(_xlfn.BASE(C5+2^16,2),2),1)</f>
        <v>1</v>
      </c>
      <c r="Y5" t="str">
        <f>LEFT(RIGHT(_xlfn.BASE(C5+2^16,2),1),1)</f>
        <v>1</v>
      </c>
    </row>
    <row r="6" spans="1:27" x14ac:dyDescent="0.25">
      <c r="A6" s="1" t="s">
        <v>3</v>
      </c>
      <c r="B6" s="1" t="s">
        <v>14</v>
      </c>
      <c r="C6">
        <f>C1+C2</f>
        <v>32568</v>
      </c>
      <c r="E6" s="1" t="s">
        <v>26</v>
      </c>
      <c r="F6" s="3"/>
      <c r="G6" t="str">
        <f>LEFT(RIGHT(_xlfn.BASE(C6+2^16,2),16),1)</f>
        <v>0</v>
      </c>
      <c r="H6" t="str">
        <f>LEFT(RIGHT(_xlfn.BASE(C6+2^16,2),15),1)</f>
        <v>1</v>
      </c>
      <c r="I6" t="str">
        <f>LEFT(RIGHT(_xlfn.BASE(C6+2^16,2),14),1)</f>
        <v>1</v>
      </c>
      <c r="J6" t="str">
        <f>LEFT(RIGHT(_xlfn.BASE(C6+2^16,2),13),1)</f>
        <v>1</v>
      </c>
      <c r="K6" t="s">
        <v>42</v>
      </c>
      <c r="L6" t="str">
        <f>LEFT(RIGHT(_xlfn.BASE(C6+2^16,2),12),1)</f>
        <v>1</v>
      </c>
      <c r="M6" t="str">
        <f>LEFT(RIGHT(_xlfn.BASE(C6+2^16,2),11),1)</f>
        <v>1</v>
      </c>
      <c r="N6" t="str">
        <f>LEFT(RIGHT(_xlfn.BASE(C6+2^16,2),10),1)</f>
        <v>1</v>
      </c>
      <c r="O6" t="str">
        <f>LEFT(RIGHT(_xlfn.BASE(C6+2^16,2),9),1)</f>
        <v>1</v>
      </c>
      <c r="P6" t="s">
        <v>42</v>
      </c>
      <c r="Q6" t="str">
        <f>LEFT(RIGHT(_xlfn.BASE(C6+2^16,2),8),1)</f>
        <v>0</v>
      </c>
      <c r="R6" t="str">
        <f>LEFT(RIGHT(_xlfn.BASE(C6+2^16,2),7),1)</f>
        <v>0</v>
      </c>
      <c r="S6" t="str">
        <f>LEFT(RIGHT(_xlfn.BASE(C6+2^16,2),6),1)</f>
        <v>1</v>
      </c>
      <c r="T6" t="str">
        <f>LEFT(RIGHT(_xlfn.BASE(C6+2^16,2),5),1)</f>
        <v>1</v>
      </c>
      <c r="U6" t="s">
        <v>42</v>
      </c>
      <c r="V6" t="str">
        <f>LEFT(RIGHT(_xlfn.BASE(C6+2^16,2),4),1)</f>
        <v>1</v>
      </c>
      <c r="W6" t="str">
        <f>LEFT(RIGHT(_xlfn.BASE(C6+2^16,2),3),1)</f>
        <v>0</v>
      </c>
      <c r="X6" t="str">
        <f>LEFT(RIGHT(_xlfn.BASE(C6+2^16,2),2),1)</f>
        <v>0</v>
      </c>
      <c r="Y6" t="str">
        <f>LEFT(RIGHT(_xlfn.BASE(C6+2^16,2),1),1)</f>
        <v>0</v>
      </c>
    </row>
    <row r="7" spans="1:27" x14ac:dyDescent="0.25">
      <c r="A7" s="1" t="s">
        <v>4</v>
      </c>
      <c r="B7" s="1" t="s">
        <v>15</v>
      </c>
      <c r="C7">
        <f>C1+C2+C2</f>
        <v>49055</v>
      </c>
      <c r="E7" s="1" t="s">
        <v>27</v>
      </c>
      <c r="F7" s="3"/>
      <c r="G7" t="str">
        <f>LEFT(RIGHT(_xlfn.BASE(C7+2^16,2),16),1)</f>
        <v>1</v>
      </c>
      <c r="H7" t="str">
        <f>LEFT(RIGHT(_xlfn.BASE(C7+2^16,2),15),1)</f>
        <v>0</v>
      </c>
      <c r="I7" t="str">
        <f>LEFT(RIGHT(_xlfn.BASE(C7+2^16,2),14),1)</f>
        <v>1</v>
      </c>
      <c r="J7" t="str">
        <f>LEFT(RIGHT(_xlfn.BASE(C7+2^16,2),13),1)</f>
        <v>1</v>
      </c>
      <c r="K7" t="s">
        <v>42</v>
      </c>
      <c r="L7" t="str">
        <f>LEFT(RIGHT(_xlfn.BASE(C7+2^16,2),12),1)</f>
        <v>1</v>
      </c>
      <c r="M7" t="str">
        <f>LEFT(RIGHT(_xlfn.BASE(C7+2^16,2),11),1)</f>
        <v>1</v>
      </c>
      <c r="N7" t="str">
        <f>LEFT(RIGHT(_xlfn.BASE(C7+2^16,2),10),1)</f>
        <v>1</v>
      </c>
      <c r="O7" t="str">
        <f>LEFT(RIGHT(_xlfn.BASE(C7+2^16,2),9),1)</f>
        <v>1</v>
      </c>
      <c r="P7" t="s">
        <v>42</v>
      </c>
      <c r="Q7" t="str">
        <f>LEFT(RIGHT(_xlfn.BASE(C7+2^16,2),8),1)</f>
        <v>1</v>
      </c>
      <c r="R7" t="str">
        <f>LEFT(RIGHT(_xlfn.BASE(C7+2^16,2),7),1)</f>
        <v>0</v>
      </c>
      <c r="S7" t="str">
        <f>LEFT(RIGHT(_xlfn.BASE(C7+2^16,2),6),1)</f>
        <v>0</v>
      </c>
      <c r="T7" t="str">
        <f>LEFT(RIGHT(_xlfn.BASE(C7+2^16,2),5),1)</f>
        <v>1</v>
      </c>
      <c r="U7" t="s">
        <v>42</v>
      </c>
      <c r="V7" t="str">
        <f>LEFT(RIGHT(_xlfn.BASE(C7+2^16,2),4),1)</f>
        <v>1</v>
      </c>
      <c r="W7" t="str">
        <f>LEFT(RIGHT(_xlfn.BASE(C7+2^16,2),3),1)</f>
        <v>1</v>
      </c>
      <c r="X7" t="str">
        <f>LEFT(RIGHT(_xlfn.BASE(C7+2^16,2),2),1)</f>
        <v>1</v>
      </c>
      <c r="Y7" t="str">
        <f>LEFT(RIGHT(_xlfn.BASE(C7+2^16,2),1),1)</f>
        <v>1</v>
      </c>
    </row>
    <row r="8" spans="1:27" x14ac:dyDescent="0.25">
      <c r="A8" s="1" t="s">
        <v>5</v>
      </c>
      <c r="B8" s="1" t="s">
        <v>16</v>
      </c>
      <c r="C8">
        <f>C2-C1</f>
        <v>406</v>
      </c>
      <c r="E8" s="1" t="s">
        <v>28</v>
      </c>
      <c r="F8" s="3"/>
      <c r="G8" t="str">
        <f t="shared" ref="G8:G9" si="0">LEFT(RIGHT(_xlfn.BASE(C8+2^16,2),16),1)</f>
        <v>0</v>
      </c>
      <c r="H8" t="str">
        <f t="shared" ref="H8:H9" si="1">LEFT(RIGHT(_xlfn.BASE(C8+2^16,2),15),1)</f>
        <v>0</v>
      </c>
      <c r="I8" t="str">
        <f t="shared" ref="I8:I9" si="2">LEFT(RIGHT(_xlfn.BASE(C8+2^16,2),14),1)</f>
        <v>0</v>
      </c>
      <c r="J8" t="str">
        <f t="shared" ref="J8:J9" si="3">LEFT(RIGHT(_xlfn.BASE(C8+2^16,2),13),1)</f>
        <v>0</v>
      </c>
      <c r="K8" t="s">
        <v>42</v>
      </c>
      <c r="L8" t="str">
        <f t="shared" ref="L8:L9" si="4">LEFT(RIGHT(_xlfn.BASE(C8+2^16,2),12),1)</f>
        <v>0</v>
      </c>
      <c r="M8" t="str">
        <f t="shared" ref="M8:M9" si="5">LEFT(RIGHT(_xlfn.BASE(C8+2^16,2),11),1)</f>
        <v>0</v>
      </c>
      <c r="N8" t="str">
        <f t="shared" ref="N8:N9" si="6">LEFT(RIGHT(_xlfn.BASE(C8+2^16,2),10),1)</f>
        <v>0</v>
      </c>
      <c r="O8" t="str">
        <f t="shared" ref="O8:O15" si="7">LEFT(RIGHT(_xlfn.BASE(C8+2^16,2),9),1)</f>
        <v>1</v>
      </c>
      <c r="P8" t="s">
        <v>42</v>
      </c>
      <c r="Q8" t="str">
        <f t="shared" ref="Q8:Q9" si="8">LEFT(RIGHT(_xlfn.BASE(C8+2^16,2),8),1)</f>
        <v>1</v>
      </c>
      <c r="R8" t="str">
        <f t="shared" ref="R8:R9" si="9">LEFT(RIGHT(_xlfn.BASE(C8+2^16,2),7),1)</f>
        <v>0</v>
      </c>
      <c r="S8" t="str">
        <f t="shared" ref="S8:S9" si="10">LEFT(RIGHT(_xlfn.BASE(C8+2^16,2),6),1)</f>
        <v>0</v>
      </c>
      <c r="T8" t="str">
        <f t="shared" ref="T8:T9" si="11">LEFT(RIGHT(_xlfn.BASE(C8+2^16,2),5),1)</f>
        <v>1</v>
      </c>
      <c r="U8" t="s">
        <v>42</v>
      </c>
      <c r="V8" t="str">
        <f t="shared" ref="V8:V9" si="12">LEFT(RIGHT(_xlfn.BASE(C8+2^16,2),4),1)</f>
        <v>0</v>
      </c>
      <c r="W8" t="str">
        <f t="shared" ref="W8:W9" si="13">LEFT(RIGHT(_xlfn.BASE(C8+2^16,2),3),1)</f>
        <v>1</v>
      </c>
      <c r="X8" t="str">
        <f t="shared" ref="X8:X9" si="14">LEFT(RIGHT(_xlfn.BASE(C8+2^16,2),2),1)</f>
        <v>1</v>
      </c>
      <c r="Y8" t="str">
        <f t="shared" ref="Y8:Y9" si="15">LEFT(RIGHT(_xlfn.BASE(C8+2^16,2),1),1)</f>
        <v>0</v>
      </c>
    </row>
    <row r="9" spans="1:27" x14ac:dyDescent="0.25">
      <c r="A9" s="1" t="s">
        <v>6</v>
      </c>
      <c r="B9" s="1" t="s">
        <v>17</v>
      </c>
      <c r="C9">
        <f>65536 - C7</f>
        <v>16481</v>
      </c>
      <c r="E9" s="1" t="s">
        <v>35</v>
      </c>
      <c r="F9" s="3"/>
      <c r="G9" t="str">
        <f t="shared" si="0"/>
        <v>0</v>
      </c>
      <c r="H9" t="str">
        <f t="shared" si="1"/>
        <v>1</v>
      </c>
      <c r="I9" t="str">
        <f t="shared" si="2"/>
        <v>0</v>
      </c>
      <c r="J9" t="str">
        <f t="shared" si="3"/>
        <v>0</v>
      </c>
      <c r="K9" t="s">
        <v>42</v>
      </c>
      <c r="L9" t="str">
        <f t="shared" si="4"/>
        <v>0</v>
      </c>
      <c r="M9" t="str">
        <f t="shared" si="5"/>
        <v>0</v>
      </c>
      <c r="N9" t="str">
        <f t="shared" si="6"/>
        <v>0</v>
      </c>
      <c r="O9" t="str">
        <f t="shared" si="7"/>
        <v>0</v>
      </c>
      <c r="P9" t="s">
        <v>42</v>
      </c>
      <c r="Q9" t="str">
        <f t="shared" si="8"/>
        <v>0</v>
      </c>
      <c r="R9" t="str">
        <f t="shared" si="9"/>
        <v>1</v>
      </c>
      <c r="S9" t="str">
        <f t="shared" si="10"/>
        <v>1</v>
      </c>
      <c r="T9" t="str">
        <f t="shared" si="11"/>
        <v>0</v>
      </c>
      <c r="U9" t="s">
        <v>42</v>
      </c>
      <c r="V9" t="str">
        <f t="shared" si="12"/>
        <v>0</v>
      </c>
      <c r="W9" t="str">
        <f t="shared" si="13"/>
        <v>0</v>
      </c>
      <c r="X9" t="str">
        <f t="shared" si="14"/>
        <v>0</v>
      </c>
      <c r="Y9" t="str">
        <f t="shared" si="15"/>
        <v>1</v>
      </c>
    </row>
    <row r="10" spans="1:27" x14ac:dyDescent="0.25">
      <c r="A10" s="1" t="s">
        <v>7</v>
      </c>
      <c r="B10" s="2" t="s">
        <v>18</v>
      </c>
      <c r="C10">
        <f t="shared" ref="C10:C15" si="16">-C4</f>
        <v>-16081</v>
      </c>
      <c r="E10" s="1" t="s">
        <v>34</v>
      </c>
      <c r="F10" s="4" t="s">
        <v>36</v>
      </c>
      <c r="G10" t="str">
        <f t="shared" ref="G10:G15" si="17">LEFT(RIGHT(_xlfn.BASE(C10+2^16,2),16),1)</f>
        <v>1</v>
      </c>
      <c r="H10" t="str">
        <f t="shared" ref="H10:H15" si="18">LEFT(RIGHT(_xlfn.BASE(C10+2^16,2),15),1)</f>
        <v>1</v>
      </c>
      <c r="I10" t="str">
        <f t="shared" ref="I10:I15" si="19">LEFT(RIGHT(_xlfn.BASE(C10+2^16,2),14),1)</f>
        <v>0</v>
      </c>
      <c r="J10" t="str">
        <f t="shared" ref="J10:J15" si="20">LEFT(RIGHT(_xlfn.BASE(C10+2^16,2),13),1)</f>
        <v>0</v>
      </c>
      <c r="K10" t="s">
        <v>42</v>
      </c>
      <c r="L10" t="str">
        <f t="shared" ref="L10:L15" si="21">LEFT(RIGHT(_xlfn.BASE(C10+2^16,2),12),1)</f>
        <v>0</v>
      </c>
      <c r="M10" t="str">
        <f t="shared" ref="M10:M15" si="22">LEFT(RIGHT(_xlfn.BASE(C10+2^16,2),11),1)</f>
        <v>0</v>
      </c>
      <c r="N10" t="str">
        <f t="shared" ref="N10:N15" si="23">LEFT(RIGHT(_xlfn.BASE(C10+2^16,2),10),1)</f>
        <v>0</v>
      </c>
      <c r="O10" t="str">
        <f t="shared" si="7"/>
        <v>1</v>
      </c>
      <c r="P10" t="s">
        <v>42</v>
      </c>
      <c r="Q10" t="str">
        <f t="shared" ref="Q10:Q15" si="24">LEFT(RIGHT(_xlfn.BASE(C10+2^16,2),8),1)</f>
        <v>0</v>
      </c>
      <c r="R10" t="str">
        <f t="shared" ref="R10:R15" si="25">LEFT(RIGHT(_xlfn.BASE(C10+2^16,2),7),1)</f>
        <v>0</v>
      </c>
      <c r="S10" t="str">
        <f t="shared" ref="S10:S15" si="26">LEFT(RIGHT(_xlfn.BASE(C10+2^16,2),6),1)</f>
        <v>1</v>
      </c>
      <c r="T10" t="str">
        <f t="shared" ref="T10:T15" si="27">LEFT(RIGHT(_xlfn.BASE(C10+2^16,2),5),1)</f>
        <v>0</v>
      </c>
      <c r="U10" t="s">
        <v>42</v>
      </c>
      <c r="V10" t="str">
        <f t="shared" ref="V10:V15" si="28">LEFT(RIGHT(_xlfn.BASE(C10+2^16,2),4),1)</f>
        <v>1</v>
      </c>
      <c r="W10" t="str">
        <f t="shared" ref="W10:W15" si="29">LEFT(RIGHT(_xlfn.BASE(C10+2^16,2),3),1)</f>
        <v>1</v>
      </c>
      <c r="X10" t="str">
        <f t="shared" ref="X10:X15" si="30">LEFT(RIGHT(_xlfn.BASE(C10+2^16,2),2),1)</f>
        <v>1</v>
      </c>
      <c r="Y10" t="str">
        <f t="shared" ref="Y10:Y15" si="31">LEFT(RIGHT(_xlfn.BASE(C10+2^16,2),1),1)</f>
        <v>1</v>
      </c>
    </row>
    <row r="11" spans="1:27" x14ac:dyDescent="0.25">
      <c r="A11" s="1" t="s">
        <v>8</v>
      </c>
      <c r="B11" s="2" t="s">
        <v>19</v>
      </c>
      <c r="C11">
        <f t="shared" si="16"/>
        <v>-16487</v>
      </c>
      <c r="E11" s="1" t="s">
        <v>33</v>
      </c>
      <c r="F11" s="4" t="s">
        <v>37</v>
      </c>
      <c r="G11" t="str">
        <f t="shared" si="17"/>
        <v>1</v>
      </c>
      <c r="H11" t="str">
        <f t="shared" si="18"/>
        <v>0</v>
      </c>
      <c r="I11" t="str">
        <f t="shared" si="19"/>
        <v>1</v>
      </c>
      <c r="J11" t="str">
        <f t="shared" si="20"/>
        <v>1</v>
      </c>
      <c r="K11" t="s">
        <v>42</v>
      </c>
      <c r="L11" t="str">
        <f t="shared" si="21"/>
        <v>1</v>
      </c>
      <c r="M11" t="str">
        <f t="shared" si="22"/>
        <v>1</v>
      </c>
      <c r="N11" t="str">
        <f t="shared" si="23"/>
        <v>1</v>
      </c>
      <c r="O11" t="str">
        <f t="shared" si="7"/>
        <v>1</v>
      </c>
      <c r="P11" t="s">
        <v>42</v>
      </c>
      <c r="Q11" t="str">
        <f t="shared" si="24"/>
        <v>1</v>
      </c>
      <c r="R11" t="str">
        <f t="shared" si="25"/>
        <v>0</v>
      </c>
      <c r="S11" t="str">
        <f t="shared" si="26"/>
        <v>0</v>
      </c>
      <c r="T11" t="str">
        <f t="shared" si="27"/>
        <v>1</v>
      </c>
      <c r="U11" t="s">
        <v>42</v>
      </c>
      <c r="V11" t="str">
        <f t="shared" si="28"/>
        <v>1</v>
      </c>
      <c r="W11" t="str">
        <f t="shared" si="29"/>
        <v>0</v>
      </c>
      <c r="X11" t="str">
        <f t="shared" si="30"/>
        <v>0</v>
      </c>
      <c r="Y11" t="str">
        <f t="shared" si="31"/>
        <v>1</v>
      </c>
    </row>
    <row r="12" spans="1:27" x14ac:dyDescent="0.25">
      <c r="A12" s="1" t="s">
        <v>9</v>
      </c>
      <c r="B12" s="2" t="s">
        <v>20</v>
      </c>
      <c r="C12">
        <f t="shared" si="16"/>
        <v>-32568</v>
      </c>
      <c r="E12" s="1" t="s">
        <v>32</v>
      </c>
      <c r="F12" s="4" t="s">
        <v>38</v>
      </c>
      <c r="G12" t="str">
        <f t="shared" si="17"/>
        <v>1</v>
      </c>
      <c r="H12" t="str">
        <f t="shared" si="18"/>
        <v>0</v>
      </c>
      <c r="I12" t="str">
        <f t="shared" si="19"/>
        <v>0</v>
      </c>
      <c r="J12" t="str">
        <f t="shared" si="20"/>
        <v>0</v>
      </c>
      <c r="K12" t="s">
        <v>42</v>
      </c>
      <c r="L12" t="str">
        <f t="shared" si="21"/>
        <v>0</v>
      </c>
      <c r="M12" t="str">
        <f t="shared" si="22"/>
        <v>0</v>
      </c>
      <c r="N12" t="str">
        <f t="shared" si="23"/>
        <v>0</v>
      </c>
      <c r="O12" t="str">
        <f t="shared" si="7"/>
        <v>0</v>
      </c>
      <c r="P12" t="s">
        <v>42</v>
      </c>
      <c r="Q12" t="str">
        <f t="shared" si="24"/>
        <v>1</v>
      </c>
      <c r="R12" t="str">
        <f t="shared" si="25"/>
        <v>1</v>
      </c>
      <c r="S12" t="str">
        <f t="shared" si="26"/>
        <v>0</v>
      </c>
      <c r="T12" t="str">
        <f t="shared" si="27"/>
        <v>0</v>
      </c>
      <c r="U12" t="s">
        <v>42</v>
      </c>
      <c r="V12" t="str">
        <f t="shared" si="28"/>
        <v>1</v>
      </c>
      <c r="W12" t="str">
        <f t="shared" si="29"/>
        <v>0</v>
      </c>
      <c r="X12" t="str">
        <f t="shared" si="30"/>
        <v>0</v>
      </c>
      <c r="Y12" t="str">
        <f t="shared" si="31"/>
        <v>0</v>
      </c>
    </row>
    <row r="13" spans="1:27" x14ac:dyDescent="0.25">
      <c r="A13" s="1" t="s">
        <v>10</v>
      </c>
      <c r="B13" s="2" t="s">
        <v>21</v>
      </c>
      <c r="C13">
        <f t="shared" si="16"/>
        <v>-49055</v>
      </c>
      <c r="E13" s="1" t="s">
        <v>31</v>
      </c>
      <c r="F13" s="4" t="s">
        <v>39</v>
      </c>
      <c r="G13" t="str">
        <f>LEFT(RIGHT(_xlfn.BASE(C13+2^17,2),16),1)</f>
        <v>0</v>
      </c>
      <c r="H13" t="str">
        <f>LEFT(RIGHT(_xlfn.BASE(C13+2^17,2),15),1)</f>
        <v>1</v>
      </c>
      <c r="I13" t="str">
        <f>LEFT(RIGHT(_xlfn.BASE(C13+2^17,2),14),1)</f>
        <v>0</v>
      </c>
      <c r="J13" t="str">
        <f>LEFT(RIGHT(_xlfn.BASE(C13+2^17,2),13),1)</f>
        <v>0</v>
      </c>
      <c r="K13" t="s">
        <v>42</v>
      </c>
      <c r="L13" t="str">
        <f>LEFT(RIGHT(_xlfn.BASE(C13+2^17,2),12),1)</f>
        <v>0</v>
      </c>
      <c r="M13" t="str">
        <f>LEFT(RIGHT(_xlfn.BASE(C13+2^17,2),11),1)</f>
        <v>0</v>
      </c>
      <c r="N13" t="str">
        <f>LEFT(RIGHT(_xlfn.BASE(C13+2^17,2),10),1)</f>
        <v>0</v>
      </c>
      <c r="O13" t="str">
        <f t="shared" si="7"/>
        <v>0</v>
      </c>
      <c r="P13" t="s">
        <v>42</v>
      </c>
      <c r="Q13" t="str">
        <f>LEFT(RIGHT(_xlfn.BASE(C13+2^17,2),8),1)</f>
        <v>0</v>
      </c>
      <c r="R13" t="str">
        <f>LEFT(RIGHT(_xlfn.BASE(C13+2^17,2),7),1)</f>
        <v>1</v>
      </c>
      <c r="S13" t="str">
        <f>LEFT(RIGHT(_xlfn.BASE(C13+2^17,2),6),1)</f>
        <v>1</v>
      </c>
      <c r="T13" t="str">
        <f>LEFT(RIGHT(_xlfn.BASE(C13+2^17,2),5),1)</f>
        <v>0</v>
      </c>
      <c r="U13" t="s">
        <v>42</v>
      </c>
      <c r="V13" t="str">
        <f>LEFT(RIGHT(_xlfn.BASE(C13+2^17,2),4),1)</f>
        <v>0</v>
      </c>
      <c r="W13" t="str">
        <f>LEFT(RIGHT(_xlfn.BASE(C13+2^17,2),3),1)</f>
        <v>0</v>
      </c>
      <c r="X13" t="str">
        <f>LEFT(RIGHT(_xlfn.BASE(C13+2^17,2),2),1)</f>
        <v>0</v>
      </c>
      <c r="Y13" t="str">
        <f>LEFT(RIGHT(_xlfn.BASE(C13+2^17,2),1),1)</f>
        <v>1</v>
      </c>
      <c r="AA13" s="8"/>
    </row>
    <row r="14" spans="1:27" x14ac:dyDescent="0.25">
      <c r="A14" s="1" t="s">
        <v>11</v>
      </c>
      <c r="B14" s="2" t="s">
        <v>22</v>
      </c>
      <c r="C14">
        <f t="shared" si="16"/>
        <v>-406</v>
      </c>
      <c r="E14" s="1" t="s">
        <v>30</v>
      </c>
      <c r="F14" s="4" t="s">
        <v>40</v>
      </c>
      <c r="G14" t="str">
        <f t="shared" si="17"/>
        <v>1</v>
      </c>
      <c r="H14" t="str">
        <f t="shared" si="18"/>
        <v>1</v>
      </c>
      <c r="I14" t="str">
        <f t="shared" si="19"/>
        <v>1</v>
      </c>
      <c r="J14" t="str">
        <f t="shared" si="20"/>
        <v>1</v>
      </c>
      <c r="K14" t="s">
        <v>42</v>
      </c>
      <c r="L14" t="str">
        <f t="shared" si="21"/>
        <v>1</v>
      </c>
      <c r="M14" t="str">
        <f t="shared" si="22"/>
        <v>1</v>
      </c>
      <c r="N14" t="str">
        <f t="shared" si="23"/>
        <v>1</v>
      </c>
      <c r="O14" t="str">
        <f t="shared" si="7"/>
        <v>0</v>
      </c>
      <c r="P14" t="s">
        <v>42</v>
      </c>
      <c r="Q14" t="str">
        <f t="shared" si="24"/>
        <v>0</v>
      </c>
      <c r="R14" t="str">
        <f t="shared" si="25"/>
        <v>1</v>
      </c>
      <c r="S14" t="str">
        <f t="shared" si="26"/>
        <v>1</v>
      </c>
      <c r="T14" t="str">
        <f t="shared" si="27"/>
        <v>0</v>
      </c>
      <c r="U14" t="s">
        <v>42</v>
      </c>
      <c r="V14" t="str">
        <f t="shared" si="28"/>
        <v>1</v>
      </c>
      <c r="W14" t="str">
        <f t="shared" si="29"/>
        <v>0</v>
      </c>
      <c r="X14" t="str">
        <f t="shared" si="30"/>
        <v>1</v>
      </c>
      <c r="Y14" t="str">
        <f t="shared" si="31"/>
        <v>0</v>
      </c>
      <c r="AA14" s="7"/>
    </row>
    <row r="15" spans="1:27" x14ac:dyDescent="0.25">
      <c r="A15" s="1" t="s">
        <v>12</v>
      </c>
      <c r="B15" s="2" t="s">
        <v>23</v>
      </c>
      <c r="C15">
        <f t="shared" si="16"/>
        <v>-16481</v>
      </c>
      <c r="E15" s="1" t="s">
        <v>29</v>
      </c>
      <c r="F15" s="4" t="s">
        <v>41</v>
      </c>
      <c r="G15" t="str">
        <f t="shared" si="17"/>
        <v>1</v>
      </c>
      <c r="H15" t="str">
        <f t="shared" si="18"/>
        <v>0</v>
      </c>
      <c r="I15" t="str">
        <f t="shared" si="19"/>
        <v>1</v>
      </c>
      <c r="J15" t="str">
        <f t="shared" si="20"/>
        <v>1</v>
      </c>
      <c r="K15" t="s">
        <v>42</v>
      </c>
      <c r="L15" t="str">
        <f t="shared" si="21"/>
        <v>1</v>
      </c>
      <c r="M15" t="str">
        <f t="shared" si="22"/>
        <v>1</v>
      </c>
      <c r="N15" t="str">
        <f t="shared" si="23"/>
        <v>1</v>
      </c>
      <c r="O15" t="str">
        <f t="shared" si="7"/>
        <v>1</v>
      </c>
      <c r="P15" t="s">
        <v>42</v>
      </c>
      <c r="Q15" t="str">
        <f t="shared" si="24"/>
        <v>1</v>
      </c>
      <c r="R15" t="str">
        <f t="shared" si="25"/>
        <v>0</v>
      </c>
      <c r="S15" t="str">
        <f t="shared" si="26"/>
        <v>0</v>
      </c>
      <c r="T15" t="str">
        <f t="shared" si="27"/>
        <v>1</v>
      </c>
      <c r="U15" t="s">
        <v>42</v>
      </c>
      <c r="V15" t="str">
        <f t="shared" si="28"/>
        <v>1</v>
      </c>
      <c r="W15" t="str">
        <f t="shared" si="29"/>
        <v>1</v>
      </c>
      <c r="X15" t="str">
        <f t="shared" si="30"/>
        <v>1</v>
      </c>
      <c r="Y15" t="str">
        <f t="shared" si="31"/>
        <v>1</v>
      </c>
    </row>
    <row r="16" spans="1:27" ht="16.5" customHeight="1" x14ac:dyDescent="0.25">
      <c r="B16" s="2"/>
      <c r="E16" s="3"/>
      <c r="F16" s="4"/>
    </row>
    <row r="17" spans="4:53" x14ac:dyDescent="0.25">
      <c r="G17" s="13">
        <f t="shared" ref="G17:X17" si="32">IF(H17+H18+H19&gt;=2,1,0)</f>
        <v>0</v>
      </c>
      <c r="H17" s="13">
        <f t="shared" si="32"/>
        <v>0</v>
      </c>
      <c r="I17" s="13">
        <f t="shared" si="32"/>
        <v>0</v>
      </c>
      <c r="J17" s="13">
        <f>IF(L17+L18+L19&gt;=2,1,0)</f>
        <v>0</v>
      </c>
      <c r="K17" s="13" t="s">
        <v>42</v>
      </c>
      <c r="L17" s="13">
        <f t="shared" si="32"/>
        <v>0</v>
      </c>
      <c r="M17" s="13">
        <f t="shared" si="32"/>
        <v>0</v>
      </c>
      <c r="N17" s="13">
        <f t="shared" si="32"/>
        <v>0</v>
      </c>
      <c r="O17" s="13">
        <f>IF(Q17+Q18+Q19&gt;=2,1,0)</f>
        <v>1</v>
      </c>
      <c r="P17" s="13" t="s">
        <v>42</v>
      </c>
      <c r="Q17" s="13">
        <f t="shared" si="32"/>
        <v>1</v>
      </c>
      <c r="R17" s="13">
        <f t="shared" si="32"/>
        <v>0</v>
      </c>
      <c r="S17" s="13">
        <f t="shared" si="32"/>
        <v>0</v>
      </c>
      <c r="T17" s="13">
        <f>IF(V17+V18+V19&gt;=2,1,0)</f>
        <v>0</v>
      </c>
      <c r="U17" s="13" t="s">
        <v>42</v>
      </c>
      <c r="V17" s="13">
        <f t="shared" si="32"/>
        <v>1</v>
      </c>
      <c r="W17" s="13">
        <f t="shared" si="32"/>
        <v>1</v>
      </c>
      <c r="X17" s="13">
        <f t="shared" si="32"/>
        <v>1</v>
      </c>
      <c r="Y17" s="13">
        <f>IF(Z17+Z18+Z19&gt;=2,1,0)</f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4:53" x14ac:dyDescent="0.25">
      <c r="E18" s="1" t="s">
        <v>43</v>
      </c>
      <c r="G18" t="str">
        <f t="shared" ref="G18:Y18" si="33">G4</f>
        <v>0</v>
      </c>
      <c r="H18" t="str">
        <f t="shared" si="33"/>
        <v>0</v>
      </c>
      <c r="I18" t="str">
        <f t="shared" si="33"/>
        <v>1</v>
      </c>
      <c r="J18" t="str">
        <f t="shared" si="33"/>
        <v>1</v>
      </c>
      <c r="K18" t="str">
        <f t="shared" si="33"/>
        <v>.</v>
      </c>
      <c r="L18" t="str">
        <f t="shared" si="33"/>
        <v>1</v>
      </c>
      <c r="M18" t="str">
        <f t="shared" si="33"/>
        <v>1</v>
      </c>
      <c r="N18" t="str">
        <f t="shared" si="33"/>
        <v>1</v>
      </c>
      <c r="O18" t="str">
        <f t="shared" si="33"/>
        <v>0</v>
      </c>
      <c r="P18" t="str">
        <f t="shared" si="33"/>
        <v>.</v>
      </c>
      <c r="Q18" t="str">
        <f t="shared" si="33"/>
        <v>1</v>
      </c>
      <c r="R18" t="str">
        <f t="shared" si="33"/>
        <v>1</v>
      </c>
      <c r="S18" t="str">
        <f t="shared" si="33"/>
        <v>0</v>
      </c>
      <c r="T18" t="str">
        <f t="shared" si="33"/>
        <v>1</v>
      </c>
      <c r="U18" t="str">
        <f t="shared" si="33"/>
        <v>.</v>
      </c>
      <c r="V18" t="str">
        <f t="shared" si="33"/>
        <v>0</v>
      </c>
      <c r="W18" t="str">
        <f t="shared" si="33"/>
        <v>0</v>
      </c>
      <c r="X18" t="str">
        <f t="shared" si="33"/>
        <v>0</v>
      </c>
      <c r="Y18" t="str">
        <f t="shared" si="33"/>
        <v>1</v>
      </c>
      <c r="AE18" s="1" t="s">
        <v>59</v>
      </c>
      <c r="AG18">
        <f>C4</f>
        <v>16081</v>
      </c>
      <c r="AJ18" s="15" t="s">
        <v>70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</row>
    <row r="19" spans="4:53" x14ac:dyDescent="0.25">
      <c r="D19" t="s">
        <v>48</v>
      </c>
      <c r="E19" s="1" t="s">
        <v>44</v>
      </c>
      <c r="G19" t="str">
        <f t="shared" ref="G19:Y19" si="34">G5</f>
        <v>0</v>
      </c>
      <c r="H19" t="str">
        <f t="shared" si="34"/>
        <v>1</v>
      </c>
      <c r="I19" t="str">
        <f t="shared" si="34"/>
        <v>0</v>
      </c>
      <c r="J19" t="str">
        <f t="shared" si="34"/>
        <v>0</v>
      </c>
      <c r="K19" t="str">
        <f t="shared" si="34"/>
        <v>.</v>
      </c>
      <c r="L19" t="str">
        <f t="shared" si="34"/>
        <v>0</v>
      </c>
      <c r="M19" t="str">
        <f t="shared" si="34"/>
        <v>0</v>
      </c>
      <c r="N19" t="str">
        <f t="shared" si="34"/>
        <v>0</v>
      </c>
      <c r="O19" t="str">
        <f t="shared" si="34"/>
        <v>0</v>
      </c>
      <c r="P19" t="str">
        <f t="shared" si="34"/>
        <v>.</v>
      </c>
      <c r="Q19" t="str">
        <f t="shared" si="34"/>
        <v>0</v>
      </c>
      <c r="R19" t="str">
        <f t="shared" si="34"/>
        <v>1</v>
      </c>
      <c r="S19" t="str">
        <f t="shared" si="34"/>
        <v>1</v>
      </c>
      <c r="T19" t="str">
        <f t="shared" si="34"/>
        <v>0</v>
      </c>
      <c r="U19" t="str">
        <f t="shared" si="34"/>
        <v>.</v>
      </c>
      <c r="V19" t="str">
        <f t="shared" si="34"/>
        <v>0</v>
      </c>
      <c r="W19" t="str">
        <f t="shared" si="34"/>
        <v>1</v>
      </c>
      <c r="X19" t="str">
        <f t="shared" si="34"/>
        <v>1</v>
      </c>
      <c r="Y19" t="str">
        <f t="shared" si="34"/>
        <v>1</v>
      </c>
      <c r="AD19" t="s">
        <v>48</v>
      </c>
      <c r="AE19" s="1" t="s">
        <v>60</v>
      </c>
      <c r="AG19">
        <f>C5</f>
        <v>16487</v>
      </c>
      <c r="AJ19" s="15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4:53" x14ac:dyDescent="0.25">
      <c r="E20" s="12" t="s">
        <v>45</v>
      </c>
      <c r="F20" s="5" t="s">
        <v>45</v>
      </c>
      <c r="G20" s="5" t="s">
        <v>46</v>
      </c>
      <c r="H20" s="5" t="s">
        <v>46</v>
      </c>
      <c r="I20" s="5" t="s">
        <v>46</v>
      </c>
      <c r="J20" s="5" t="s">
        <v>46</v>
      </c>
      <c r="K20" s="5" t="s">
        <v>46</v>
      </c>
      <c r="L20" s="5" t="s">
        <v>46</v>
      </c>
      <c r="M20" s="5" t="s">
        <v>46</v>
      </c>
      <c r="N20" s="5" t="s">
        <v>46</v>
      </c>
      <c r="O20" s="5" t="s">
        <v>46</v>
      </c>
      <c r="P20" s="5" t="s">
        <v>46</v>
      </c>
      <c r="Q20" s="5" t="s">
        <v>46</v>
      </c>
      <c r="R20" s="5" t="s">
        <v>46</v>
      </c>
      <c r="S20" s="5" t="s">
        <v>46</v>
      </c>
      <c r="T20" s="5" t="s">
        <v>46</v>
      </c>
      <c r="U20" s="5" t="s">
        <v>46</v>
      </c>
      <c r="V20" s="5" t="s">
        <v>46</v>
      </c>
      <c r="W20" s="5" t="s">
        <v>46</v>
      </c>
      <c r="X20" s="5" t="s">
        <v>46</v>
      </c>
      <c r="Y20" s="5" t="s">
        <v>46</v>
      </c>
      <c r="AE20" s="12" t="s">
        <v>61</v>
      </c>
      <c r="AF20" s="5" t="s">
        <v>61</v>
      </c>
      <c r="AG20" s="5" t="s">
        <v>62</v>
      </c>
      <c r="AJ20" s="15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4:53" ht="18" x14ac:dyDescent="0.35">
      <c r="E21" s="1"/>
      <c r="G21">
        <f t="shared" ref="G21:R21" si="35">IF(G17+G18+G19=2,0,IF(OR(G17+G18+G19=1,G17+G18+G19=3),1,0))</f>
        <v>0</v>
      </c>
      <c r="H21">
        <f t="shared" si="35"/>
        <v>1</v>
      </c>
      <c r="I21">
        <f t="shared" si="35"/>
        <v>1</v>
      </c>
      <c r="J21">
        <f t="shared" si="35"/>
        <v>1</v>
      </c>
      <c r="K21" t="s">
        <v>42</v>
      </c>
      <c r="L21">
        <f t="shared" si="35"/>
        <v>1</v>
      </c>
      <c r="M21">
        <f t="shared" si="35"/>
        <v>1</v>
      </c>
      <c r="N21">
        <f t="shared" si="35"/>
        <v>1</v>
      </c>
      <c r="O21">
        <f t="shared" si="35"/>
        <v>1</v>
      </c>
      <c r="P21" t="s">
        <v>42</v>
      </c>
      <c r="Q21">
        <f t="shared" si="35"/>
        <v>0</v>
      </c>
      <c r="R21">
        <f t="shared" si="35"/>
        <v>0</v>
      </c>
      <c r="S21">
        <f>IF(S17+S18+S19=2,0,IF(OR(S17+S18+S19=1,S17+S18+S19=3),1,0))</f>
        <v>1</v>
      </c>
      <c r="T21">
        <f>IF(T17+T18+T19=2,0,IF(OR(T17+T18+T19=1,T17+T18+T19=3),1,0))</f>
        <v>1</v>
      </c>
      <c r="U21" t="s">
        <v>42</v>
      </c>
      <c r="V21">
        <f t="shared" ref="V21:Y21" si="36">IF(V17+V18+V19=2,0,IF(OR(V17+V18+V19=1,V17+V18+V19=3),1,0))</f>
        <v>1</v>
      </c>
      <c r="W21">
        <f t="shared" si="36"/>
        <v>0</v>
      </c>
      <c r="X21">
        <f t="shared" si="36"/>
        <v>0</v>
      </c>
      <c r="Y21">
        <f t="shared" si="36"/>
        <v>0</v>
      </c>
      <c r="Z21" s="3" t="s">
        <v>69</v>
      </c>
      <c r="AA21">
        <f>-BIN2DEC(_xlfn.NUMBERVALUE(G21))*2^15+BIN2DEC(_xlfn.NUMBERVALUE(H21&amp;I21&amp;J21&amp;L21&amp;M21&amp;N21&amp;O21))*2^8+BIN2DEC(_xlfn.NUMBERVALUE(Q21&amp;R21&amp;S21&amp;T21&amp;V21&amp;W21&amp;X21&amp;Y21))</f>
        <v>32568</v>
      </c>
      <c r="AG21">
        <f>AG18+AG19</f>
        <v>32568</v>
      </c>
      <c r="AH21" s="9" t="s">
        <v>63</v>
      </c>
      <c r="AJ21" s="15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</row>
    <row r="22" spans="4:53" x14ac:dyDescent="0.25">
      <c r="E22" s="1"/>
      <c r="Z22" s="3"/>
    </row>
    <row r="23" spans="4:53" x14ac:dyDescent="0.25">
      <c r="E23" s="1"/>
      <c r="H23" t="s">
        <v>47</v>
      </c>
      <c r="J23">
        <f>IF(G17+G18+G19&gt;=2,1,0)</f>
        <v>0</v>
      </c>
      <c r="M23" t="s">
        <v>54</v>
      </c>
      <c r="O23" cm="1">
        <f t="array" ref="O23">IF(MOD(SUM(Q21:T21+V21:Y21),2)=0,1,0)</f>
        <v>0</v>
      </c>
      <c r="R23" t="s">
        <v>55</v>
      </c>
      <c r="T23">
        <f>T17</f>
        <v>0</v>
      </c>
      <c r="W23" t="s">
        <v>56</v>
      </c>
      <c r="Y23" cm="1">
        <f t="array" ref="Y23">IF(SUM(G21:J21+L21:O21+Q21:T21+V21:Y21)=0,1,0)</f>
        <v>0</v>
      </c>
      <c r="Z23" s="3"/>
      <c r="AA23" s="1" t="s">
        <v>57</v>
      </c>
      <c r="AB23">
        <f>G21</f>
        <v>0</v>
      </c>
      <c r="AC23" s="1" t="s">
        <v>58</v>
      </c>
      <c r="AD23">
        <f>IF(_xlfn.BITXOR(G18,G19)=1,0,IF(_xlfn.NUMBERVALUE(G87)=_xlfn.NUMBERVALUE(G21),0,1))</f>
        <v>0</v>
      </c>
    </row>
    <row r="24" spans="4:53" x14ac:dyDescent="0.25">
      <c r="E24" s="1"/>
      <c r="G24" s="13">
        <f t="shared" ref="G24:X24" si="37">IF(H24+H25+H26&gt;=2,1,0)</f>
        <v>1</v>
      </c>
      <c r="H24" s="13">
        <f t="shared" si="37"/>
        <v>0</v>
      </c>
      <c r="I24" s="13">
        <f t="shared" si="37"/>
        <v>0</v>
      </c>
      <c r="J24" s="13">
        <f>IF(L24+L25+L26&gt;=2,1,0)</f>
        <v>0</v>
      </c>
      <c r="K24" s="13" t="s">
        <v>42</v>
      </c>
      <c r="L24" s="13">
        <f t="shared" si="37"/>
        <v>0</v>
      </c>
      <c r="M24" s="13">
        <f t="shared" si="37"/>
        <v>0</v>
      </c>
      <c r="N24" s="13">
        <f t="shared" si="37"/>
        <v>0</v>
      </c>
      <c r="O24" s="13">
        <f>IF(Q24+Q25+Q26&gt;=2,1,0)</f>
        <v>0</v>
      </c>
      <c r="P24" s="13" t="s">
        <v>42</v>
      </c>
      <c r="Q24" s="13">
        <f t="shared" si="37"/>
        <v>1</v>
      </c>
      <c r="R24" s="13">
        <f t="shared" si="37"/>
        <v>1</v>
      </c>
      <c r="S24" s="13">
        <f t="shared" si="37"/>
        <v>0</v>
      </c>
      <c r="T24" s="13">
        <f>IF(V24+V25+V26&gt;=2,1,0)</f>
        <v>0</v>
      </c>
      <c r="U24" s="13" t="s">
        <v>42</v>
      </c>
      <c r="V24" s="13">
        <f t="shared" si="37"/>
        <v>0</v>
      </c>
      <c r="W24" s="13">
        <f t="shared" si="37"/>
        <v>0</v>
      </c>
      <c r="X24" s="13">
        <f t="shared" si="37"/>
        <v>0</v>
      </c>
      <c r="Y24" s="13">
        <f>IF(Z24+Z25+Z26&gt;=2,1,0)</f>
        <v>0</v>
      </c>
      <c r="Z24" s="3"/>
    </row>
    <row r="25" spans="4:53" x14ac:dyDescent="0.25">
      <c r="E25" s="1" t="s">
        <v>44</v>
      </c>
      <c r="G25" t="str">
        <f t="shared" ref="G25:Y25" si="38">G5</f>
        <v>0</v>
      </c>
      <c r="H25" t="str">
        <f t="shared" si="38"/>
        <v>1</v>
      </c>
      <c r="I25" t="str">
        <f t="shared" si="38"/>
        <v>0</v>
      </c>
      <c r="J25" t="str">
        <f t="shared" si="38"/>
        <v>0</v>
      </c>
      <c r="K25" t="str">
        <f t="shared" si="38"/>
        <v>.</v>
      </c>
      <c r="L25" t="str">
        <f t="shared" si="38"/>
        <v>0</v>
      </c>
      <c r="M25" t="str">
        <f t="shared" si="38"/>
        <v>0</v>
      </c>
      <c r="N25" t="str">
        <f t="shared" si="38"/>
        <v>0</v>
      </c>
      <c r="O25" t="str">
        <f t="shared" si="38"/>
        <v>0</v>
      </c>
      <c r="P25" t="str">
        <f t="shared" si="38"/>
        <v>.</v>
      </c>
      <c r="Q25" t="str">
        <f t="shared" si="38"/>
        <v>0</v>
      </c>
      <c r="R25" t="str">
        <f t="shared" si="38"/>
        <v>1</v>
      </c>
      <c r="S25" t="str">
        <f t="shared" si="38"/>
        <v>1</v>
      </c>
      <c r="T25" t="str">
        <f t="shared" si="38"/>
        <v>0</v>
      </c>
      <c r="U25" t="str">
        <f t="shared" si="38"/>
        <v>.</v>
      </c>
      <c r="V25" t="str">
        <f t="shared" si="38"/>
        <v>0</v>
      </c>
      <c r="W25" t="str">
        <f t="shared" si="38"/>
        <v>1</v>
      </c>
      <c r="X25" t="str">
        <f t="shared" si="38"/>
        <v>1</v>
      </c>
      <c r="Y25" t="str">
        <f t="shared" si="38"/>
        <v>1</v>
      </c>
      <c r="Z25" s="3"/>
      <c r="AE25" s="1" t="s">
        <v>60</v>
      </c>
      <c r="AG25">
        <f>C5</f>
        <v>16487</v>
      </c>
      <c r="AJ25" s="15" t="s">
        <v>74</v>
      </c>
    </row>
    <row r="26" spans="4:53" x14ac:dyDescent="0.25">
      <c r="D26" t="s">
        <v>48</v>
      </c>
      <c r="E26" s="1" t="s">
        <v>49</v>
      </c>
      <c r="G26" t="str">
        <f t="shared" ref="G26:Y26" si="39">G6</f>
        <v>0</v>
      </c>
      <c r="H26" t="str">
        <f t="shared" si="39"/>
        <v>1</v>
      </c>
      <c r="I26" t="str">
        <f t="shared" si="39"/>
        <v>1</v>
      </c>
      <c r="J26" t="str">
        <f t="shared" si="39"/>
        <v>1</v>
      </c>
      <c r="K26" t="str">
        <f t="shared" si="39"/>
        <v>.</v>
      </c>
      <c r="L26" t="str">
        <f t="shared" si="39"/>
        <v>1</v>
      </c>
      <c r="M26" t="str">
        <f t="shared" si="39"/>
        <v>1</v>
      </c>
      <c r="N26" t="str">
        <f t="shared" si="39"/>
        <v>1</v>
      </c>
      <c r="O26" t="str">
        <f t="shared" si="39"/>
        <v>1</v>
      </c>
      <c r="P26" t="str">
        <f t="shared" si="39"/>
        <v>.</v>
      </c>
      <c r="Q26" t="str">
        <f t="shared" si="39"/>
        <v>0</v>
      </c>
      <c r="R26" t="str">
        <f t="shared" si="39"/>
        <v>0</v>
      </c>
      <c r="S26" t="str">
        <f t="shared" si="39"/>
        <v>1</v>
      </c>
      <c r="T26" t="str">
        <f t="shared" si="39"/>
        <v>1</v>
      </c>
      <c r="U26" t="str">
        <f t="shared" si="39"/>
        <v>.</v>
      </c>
      <c r="V26" t="str">
        <f t="shared" si="39"/>
        <v>1</v>
      </c>
      <c r="W26" t="str">
        <f t="shared" si="39"/>
        <v>0</v>
      </c>
      <c r="X26" t="str">
        <f t="shared" si="39"/>
        <v>0</v>
      </c>
      <c r="Y26" t="str">
        <f t="shared" si="39"/>
        <v>0</v>
      </c>
      <c r="Z26" s="3"/>
      <c r="AD26" t="s">
        <v>48</v>
      </c>
      <c r="AE26" s="1" t="s">
        <v>64</v>
      </c>
      <c r="AG26">
        <f>C6</f>
        <v>32568</v>
      </c>
      <c r="AJ26" s="15"/>
    </row>
    <row r="27" spans="4:53" x14ac:dyDescent="0.25">
      <c r="E27" s="1" t="s">
        <v>45</v>
      </c>
      <c r="F27" t="s">
        <v>45</v>
      </c>
      <c r="G27" t="s">
        <v>46</v>
      </c>
      <c r="H27" t="s">
        <v>46</v>
      </c>
      <c r="I27" t="s">
        <v>46</v>
      </c>
      <c r="J27" t="s">
        <v>46</v>
      </c>
      <c r="K27" t="s">
        <v>46</v>
      </c>
      <c r="L27" t="s">
        <v>46</v>
      </c>
      <c r="M27" t="s">
        <v>46</v>
      </c>
      <c r="N27" t="s">
        <v>46</v>
      </c>
      <c r="O27" t="s">
        <v>46</v>
      </c>
      <c r="P27" t="s">
        <v>46</v>
      </c>
      <c r="Q27" t="s">
        <v>46</v>
      </c>
      <c r="R27" t="s">
        <v>46</v>
      </c>
      <c r="S27" t="s">
        <v>46</v>
      </c>
      <c r="T27" t="s">
        <v>46</v>
      </c>
      <c r="U27" t="s">
        <v>46</v>
      </c>
      <c r="V27" t="s">
        <v>46</v>
      </c>
      <c r="W27" t="s">
        <v>46</v>
      </c>
      <c r="X27" t="s">
        <v>46</v>
      </c>
      <c r="Y27" t="s">
        <v>46</v>
      </c>
      <c r="Z27" s="3"/>
      <c r="AE27" s="12" t="s">
        <v>61</v>
      </c>
      <c r="AF27" s="5" t="s">
        <v>61</v>
      </c>
      <c r="AG27" s="5" t="s">
        <v>62</v>
      </c>
      <c r="AJ27" s="15"/>
    </row>
    <row r="28" spans="4:53" ht="18" x14ac:dyDescent="0.35">
      <c r="E28" s="1"/>
      <c r="G28">
        <f t="shared" ref="G28:R28" si="40">IF(G24+G25+G26=2,0,IF(OR(G24+G25+G26=1,G24+G25+G26=3),1,0))</f>
        <v>1</v>
      </c>
      <c r="H28">
        <f t="shared" si="40"/>
        <v>0</v>
      </c>
      <c r="I28">
        <f t="shared" si="40"/>
        <v>1</v>
      </c>
      <c r="J28">
        <f t="shared" si="40"/>
        <v>1</v>
      </c>
      <c r="K28" t="s">
        <v>42</v>
      </c>
      <c r="L28">
        <f t="shared" si="40"/>
        <v>1</v>
      </c>
      <c r="M28">
        <f t="shared" si="40"/>
        <v>1</v>
      </c>
      <c r="N28">
        <f t="shared" si="40"/>
        <v>1</v>
      </c>
      <c r="O28">
        <f t="shared" si="40"/>
        <v>1</v>
      </c>
      <c r="P28" t="s">
        <v>42</v>
      </c>
      <c r="Q28">
        <f t="shared" si="40"/>
        <v>1</v>
      </c>
      <c r="R28">
        <f t="shared" si="40"/>
        <v>0</v>
      </c>
      <c r="S28">
        <f>IF(S24+S25+S26=2,0,IF(OR(S24+S25+S26=1,S24+S25+S26=3),1,0))</f>
        <v>0</v>
      </c>
      <c r="T28">
        <f>IF(T24+T25+T26=2,0,IF(OR(T24+T25+T26=1,T24+T25+T26=3),1,0))</f>
        <v>1</v>
      </c>
      <c r="U28" t="s">
        <v>42</v>
      </c>
      <c r="V28">
        <f t="shared" ref="V28:Y28" si="41">IF(V24+V25+V26=2,0,IF(OR(V24+V25+V26=1,V24+V25+V26=3),1,0))</f>
        <v>1</v>
      </c>
      <c r="W28">
        <f t="shared" si="41"/>
        <v>1</v>
      </c>
      <c r="X28">
        <f t="shared" si="41"/>
        <v>1</v>
      </c>
      <c r="Y28">
        <f t="shared" si="41"/>
        <v>1</v>
      </c>
      <c r="Z28" s="3" t="s">
        <v>69</v>
      </c>
      <c r="AA28">
        <f>-BIN2DEC(_xlfn.NUMBERVALUE(G28))*2^15+BIN2DEC(_xlfn.NUMBERVALUE(H28&amp;I28&amp;J28&amp;L28&amp;M28&amp;N28&amp;O28))*2^8+BIN2DEC(_xlfn.NUMBERVALUE(Q28&amp;R28&amp;S28&amp;T28&amp;V28&amp;W28&amp;X28&amp;Y28))</f>
        <v>-16481</v>
      </c>
      <c r="AG28">
        <f>AG25+AG26</f>
        <v>49055</v>
      </c>
      <c r="AH28" s="9" t="s">
        <v>63</v>
      </c>
      <c r="AJ28" s="15"/>
    </row>
    <row r="29" spans="4:53" x14ac:dyDescent="0.25">
      <c r="E29" s="1"/>
      <c r="Z29" s="3"/>
    </row>
    <row r="30" spans="4:53" x14ac:dyDescent="0.25">
      <c r="E30" s="1"/>
      <c r="H30" t="s">
        <v>47</v>
      </c>
      <c r="J30">
        <f>IF(G24+G25+G26&gt;=2,1,0)</f>
        <v>0</v>
      </c>
      <c r="M30" t="s">
        <v>54</v>
      </c>
      <c r="O30" cm="1">
        <f t="array" ref="O30">IF(MOD(SUM(Q28:T28+V28:Y28),2)=0,1,0)</f>
        <v>1</v>
      </c>
      <c r="R30" t="s">
        <v>55</v>
      </c>
      <c r="T30">
        <f>T24</f>
        <v>0</v>
      </c>
      <c r="W30" t="s">
        <v>56</v>
      </c>
      <c r="Y30" cm="1">
        <f t="array" ref="Y30">IF(SUM(G28:J28+L28:O28+Q28:T28+V28:Y28)=0,1,0)</f>
        <v>0</v>
      </c>
      <c r="Z30" s="3"/>
      <c r="AA30" s="1" t="s">
        <v>57</v>
      </c>
      <c r="AB30">
        <f>G28</f>
        <v>1</v>
      </c>
      <c r="AC30" s="1" t="s">
        <v>58</v>
      </c>
      <c r="AD30">
        <f>IF(_xlfn.BITXOR(G25,G26)=1,0,IF(_xlfn.NUMBERVALUE(G94)=_xlfn.NUMBERVALUE(G28),0,1))</f>
        <v>1</v>
      </c>
    </row>
    <row r="31" spans="4:53" x14ac:dyDescent="0.25">
      <c r="E31" s="1"/>
      <c r="G31" s="14">
        <f t="shared" ref="G31:X31" si="42">IF(H31+H32+H33&gt;=2,1,0)</f>
        <v>1</v>
      </c>
      <c r="H31" s="14">
        <f t="shared" si="42"/>
        <v>0</v>
      </c>
      <c r="I31" s="14">
        <f t="shared" si="42"/>
        <v>0</v>
      </c>
      <c r="J31" s="14">
        <f>IF(L31+L32+L33&gt;=2,1,0)</f>
        <v>0</v>
      </c>
      <c r="K31" s="14" t="s">
        <v>42</v>
      </c>
      <c r="L31" s="14">
        <f t="shared" si="42"/>
        <v>0</v>
      </c>
      <c r="M31" s="14">
        <f t="shared" si="42"/>
        <v>0</v>
      </c>
      <c r="N31" s="14">
        <f t="shared" si="42"/>
        <v>0</v>
      </c>
      <c r="O31" s="14">
        <f>IF(Q31+Q32+Q33&gt;=2,1,0)</f>
        <v>0</v>
      </c>
      <c r="P31" s="14" t="s">
        <v>42</v>
      </c>
      <c r="Q31" s="14">
        <f t="shared" si="42"/>
        <v>1</v>
      </c>
      <c r="R31" s="14">
        <f t="shared" si="42"/>
        <v>1</v>
      </c>
      <c r="S31" s="14">
        <f t="shared" si="42"/>
        <v>0</v>
      </c>
      <c r="T31" s="14">
        <f>IF(V31+V32+V33&gt;=2,1,0)</f>
        <v>1</v>
      </c>
      <c r="U31" s="14" t="s">
        <v>42</v>
      </c>
      <c r="V31" s="14">
        <f t="shared" si="42"/>
        <v>1</v>
      </c>
      <c r="W31" s="14">
        <f t="shared" si="42"/>
        <v>1</v>
      </c>
      <c r="X31" s="14">
        <f t="shared" si="42"/>
        <v>1</v>
      </c>
      <c r="Y31" s="14">
        <f>IF(Z31+Z32+Z33&gt;=2,1,0)</f>
        <v>0</v>
      </c>
      <c r="Z31" s="3"/>
    </row>
    <row r="32" spans="4:53" x14ac:dyDescent="0.25">
      <c r="E32" s="1" t="s">
        <v>44</v>
      </c>
      <c r="G32" t="str">
        <f t="shared" ref="G32:Y32" si="43">G5</f>
        <v>0</v>
      </c>
      <c r="H32" t="str">
        <f t="shared" si="43"/>
        <v>1</v>
      </c>
      <c r="I32" t="str">
        <f t="shared" si="43"/>
        <v>0</v>
      </c>
      <c r="J32" t="str">
        <f t="shared" si="43"/>
        <v>0</v>
      </c>
      <c r="K32" t="str">
        <f t="shared" si="43"/>
        <v>.</v>
      </c>
      <c r="L32" t="str">
        <f t="shared" si="43"/>
        <v>0</v>
      </c>
      <c r="M32" t="str">
        <f t="shared" si="43"/>
        <v>0</v>
      </c>
      <c r="N32" t="str">
        <f t="shared" si="43"/>
        <v>0</v>
      </c>
      <c r="O32" t="str">
        <f t="shared" si="43"/>
        <v>0</v>
      </c>
      <c r="P32" t="str">
        <f t="shared" si="43"/>
        <v>.</v>
      </c>
      <c r="Q32" t="str">
        <f t="shared" si="43"/>
        <v>0</v>
      </c>
      <c r="R32" t="str">
        <f t="shared" si="43"/>
        <v>1</v>
      </c>
      <c r="S32" t="str">
        <f t="shared" si="43"/>
        <v>1</v>
      </c>
      <c r="T32" t="str">
        <f t="shared" si="43"/>
        <v>0</v>
      </c>
      <c r="U32" t="str">
        <f t="shared" si="43"/>
        <v>.</v>
      </c>
      <c r="V32" t="str">
        <f t="shared" si="43"/>
        <v>0</v>
      </c>
      <c r="W32" t="str">
        <f t="shared" si="43"/>
        <v>1</v>
      </c>
      <c r="X32" t="str">
        <f t="shared" si="43"/>
        <v>1</v>
      </c>
      <c r="Y32" t="str">
        <f t="shared" si="43"/>
        <v>1</v>
      </c>
      <c r="Z32" s="3"/>
      <c r="AE32" s="1" t="s">
        <v>60</v>
      </c>
      <c r="AG32">
        <f>C5</f>
        <v>16487</v>
      </c>
      <c r="AJ32" s="15" t="s">
        <v>71</v>
      </c>
    </row>
    <row r="33" spans="4:36" x14ac:dyDescent="0.25">
      <c r="D33" t="s">
        <v>48</v>
      </c>
      <c r="E33" s="1" t="s">
        <v>50</v>
      </c>
      <c r="G33" t="str">
        <f t="shared" ref="G33:Y33" si="44">G10</f>
        <v>1</v>
      </c>
      <c r="H33" t="str">
        <f t="shared" si="44"/>
        <v>1</v>
      </c>
      <c r="I33" t="str">
        <f t="shared" si="44"/>
        <v>0</v>
      </c>
      <c r="J33" t="str">
        <f t="shared" si="44"/>
        <v>0</v>
      </c>
      <c r="K33" t="str">
        <f t="shared" si="44"/>
        <v>.</v>
      </c>
      <c r="L33" t="str">
        <f t="shared" si="44"/>
        <v>0</v>
      </c>
      <c r="M33" t="str">
        <f t="shared" si="44"/>
        <v>0</v>
      </c>
      <c r="N33" t="str">
        <f t="shared" si="44"/>
        <v>0</v>
      </c>
      <c r="O33" t="str">
        <f t="shared" si="44"/>
        <v>1</v>
      </c>
      <c r="P33" t="str">
        <f t="shared" si="44"/>
        <v>.</v>
      </c>
      <c r="Q33" t="str">
        <f t="shared" si="44"/>
        <v>0</v>
      </c>
      <c r="R33" t="str">
        <f t="shared" si="44"/>
        <v>0</v>
      </c>
      <c r="S33" t="str">
        <f t="shared" si="44"/>
        <v>1</v>
      </c>
      <c r="T33" t="str">
        <f t="shared" si="44"/>
        <v>0</v>
      </c>
      <c r="U33" t="str">
        <f t="shared" si="44"/>
        <v>.</v>
      </c>
      <c r="V33" t="str">
        <f t="shared" si="44"/>
        <v>1</v>
      </c>
      <c r="W33" t="str">
        <f t="shared" si="44"/>
        <v>1</v>
      </c>
      <c r="X33" t="str">
        <f t="shared" si="44"/>
        <v>1</v>
      </c>
      <c r="Y33" t="str">
        <f t="shared" si="44"/>
        <v>1</v>
      </c>
      <c r="Z33" s="3"/>
      <c r="AD33" t="s">
        <v>48</v>
      </c>
      <c r="AE33" s="1" t="s">
        <v>65</v>
      </c>
      <c r="AG33">
        <f>C10</f>
        <v>-16081</v>
      </c>
      <c r="AJ33" s="15"/>
    </row>
    <row r="34" spans="4:36" x14ac:dyDescent="0.25">
      <c r="E34" s="1" t="s">
        <v>45</v>
      </c>
      <c r="F34" t="s">
        <v>45</v>
      </c>
      <c r="G34" t="s">
        <v>46</v>
      </c>
      <c r="H34" t="s">
        <v>46</v>
      </c>
      <c r="I34" t="s">
        <v>46</v>
      </c>
      <c r="J34" t="s">
        <v>46</v>
      </c>
      <c r="K34" t="s">
        <v>46</v>
      </c>
      <c r="L34" t="s">
        <v>46</v>
      </c>
      <c r="M34" t="s">
        <v>46</v>
      </c>
      <c r="N34" t="s">
        <v>46</v>
      </c>
      <c r="O34" t="s">
        <v>46</v>
      </c>
      <c r="P34" t="s">
        <v>46</v>
      </c>
      <c r="Q34" t="s">
        <v>46</v>
      </c>
      <c r="R34" t="s">
        <v>46</v>
      </c>
      <c r="S34" t="s">
        <v>46</v>
      </c>
      <c r="T34" t="s">
        <v>46</v>
      </c>
      <c r="U34" t="s">
        <v>46</v>
      </c>
      <c r="V34" t="s">
        <v>46</v>
      </c>
      <c r="W34" t="s">
        <v>46</v>
      </c>
      <c r="X34" t="s">
        <v>46</v>
      </c>
      <c r="Y34" t="s">
        <v>46</v>
      </c>
      <c r="Z34" s="3"/>
      <c r="AE34" s="12" t="s">
        <v>61</v>
      </c>
      <c r="AF34" s="5" t="s">
        <v>61</v>
      </c>
      <c r="AG34" s="5" t="s">
        <v>62</v>
      </c>
      <c r="AJ34" s="15"/>
    </row>
    <row r="35" spans="4:36" ht="18" x14ac:dyDescent="0.35">
      <c r="E35" s="1"/>
      <c r="G35">
        <f t="shared" ref="G35:R35" si="45">IF(G31+G32+G33=2,0,IF(OR(G31+G32+G33=1,G31+G32+G33=3),1,0))</f>
        <v>0</v>
      </c>
      <c r="H35">
        <f t="shared" si="45"/>
        <v>0</v>
      </c>
      <c r="I35">
        <f t="shared" si="45"/>
        <v>0</v>
      </c>
      <c r="J35">
        <f t="shared" si="45"/>
        <v>0</v>
      </c>
      <c r="K35" t="s">
        <v>42</v>
      </c>
      <c r="L35">
        <f t="shared" si="45"/>
        <v>0</v>
      </c>
      <c r="M35">
        <f t="shared" si="45"/>
        <v>0</v>
      </c>
      <c r="N35">
        <f t="shared" si="45"/>
        <v>0</v>
      </c>
      <c r="O35">
        <f t="shared" si="45"/>
        <v>1</v>
      </c>
      <c r="P35" t="s">
        <v>42</v>
      </c>
      <c r="Q35">
        <f t="shared" si="45"/>
        <v>1</v>
      </c>
      <c r="R35">
        <f t="shared" si="45"/>
        <v>0</v>
      </c>
      <c r="S35">
        <f>IF(S31+S32+S33=2,0,IF(OR(S31+S32+S33=1,S31+S32+S33=3),1,0))</f>
        <v>0</v>
      </c>
      <c r="T35">
        <f>IF(T31+T32+T33=2,0,IF(OR(T31+T32+T33=1,T31+T32+T33=3),1,0))</f>
        <v>1</v>
      </c>
      <c r="U35" t="s">
        <v>42</v>
      </c>
      <c r="V35">
        <f t="shared" ref="V35:Y35" si="46">IF(V31+V32+V33=2,0,IF(OR(V31+V32+V33=1,V31+V32+V33=3),1,0))</f>
        <v>0</v>
      </c>
      <c r="W35">
        <f t="shared" si="46"/>
        <v>1</v>
      </c>
      <c r="X35">
        <f t="shared" si="46"/>
        <v>1</v>
      </c>
      <c r="Y35">
        <f t="shared" si="46"/>
        <v>0</v>
      </c>
      <c r="Z35" s="3" t="s">
        <v>69</v>
      </c>
      <c r="AA35">
        <f>-BIN2DEC(_xlfn.NUMBERVALUE(G35))*2^15+BIN2DEC(_xlfn.NUMBERVALUE(H35&amp;I35&amp;J35&amp;L35&amp;M35&amp;N35&amp;O35))*2^8+BIN2DEC(_xlfn.NUMBERVALUE(Q35&amp;R35&amp;S35&amp;T35&amp;V35&amp;W35&amp;X35&amp;Y35))</f>
        <v>406</v>
      </c>
      <c r="AG35">
        <f>AG32+AG33</f>
        <v>406</v>
      </c>
      <c r="AH35" s="9" t="s">
        <v>63</v>
      </c>
      <c r="AJ35" s="15"/>
    </row>
    <row r="36" spans="4:36" x14ac:dyDescent="0.25">
      <c r="E36" s="1"/>
      <c r="Z36" s="3"/>
    </row>
    <row r="37" spans="4:36" x14ac:dyDescent="0.25">
      <c r="E37" s="1"/>
      <c r="H37" t="s">
        <v>47</v>
      </c>
      <c r="J37">
        <f>IF(G31+G32+G33&gt;=2,1,0)</f>
        <v>1</v>
      </c>
      <c r="M37" t="s">
        <v>54</v>
      </c>
      <c r="O37" cm="1">
        <f t="array" ref="O37">IF(MOD(SUM(Q35:T35+V35:Y35),2)=0,1,0)</f>
        <v>1</v>
      </c>
      <c r="R37" t="s">
        <v>55</v>
      </c>
      <c r="T37">
        <f>T31</f>
        <v>1</v>
      </c>
      <c r="W37" t="s">
        <v>56</v>
      </c>
      <c r="Y37" cm="1">
        <f t="array" ref="Y37">IF(SUM(G35:J35+L35:O35+Q35:T35+V35:Y35)=0,1,0)</f>
        <v>0</v>
      </c>
      <c r="Z37" s="3"/>
      <c r="AA37" s="1" t="s">
        <v>57</v>
      </c>
      <c r="AB37">
        <f>G35</f>
        <v>0</v>
      </c>
      <c r="AC37" s="1" t="s">
        <v>58</v>
      </c>
      <c r="AD37">
        <f>IF(_xlfn.BITXOR(G32,G33)=1,0,IF(_xlfn.NUMBERVALUE(G101)=_xlfn.NUMBERVALUE(G35),0,1))</f>
        <v>0</v>
      </c>
    </row>
    <row r="38" spans="4:36" x14ac:dyDescent="0.25">
      <c r="E38" s="1"/>
      <c r="G38" s="14">
        <f t="shared" ref="G38:X38" si="47">IF(H38+H39+H40&gt;=2,1,0)</f>
        <v>1</v>
      </c>
      <c r="H38" s="14">
        <f t="shared" si="47"/>
        <v>1</v>
      </c>
      <c r="I38" s="14">
        <f t="shared" si="47"/>
        <v>1</v>
      </c>
      <c r="J38" s="14">
        <f>IF(L38+L39+L40&gt;=2,1,0)</f>
        <v>1</v>
      </c>
      <c r="K38" s="14" t="s">
        <v>42</v>
      </c>
      <c r="L38" s="14">
        <f t="shared" si="47"/>
        <v>1</v>
      </c>
      <c r="M38" s="14">
        <f t="shared" si="47"/>
        <v>1</v>
      </c>
      <c r="N38" s="14">
        <f t="shared" si="47"/>
        <v>1</v>
      </c>
      <c r="O38" s="14">
        <f>IF(Q38+Q39+Q40&gt;=2,1,0)</f>
        <v>0</v>
      </c>
      <c r="P38" s="14" t="s">
        <v>42</v>
      </c>
      <c r="Q38" s="14">
        <f t="shared" si="47"/>
        <v>0</v>
      </c>
      <c r="R38" s="14">
        <f t="shared" si="47"/>
        <v>1</v>
      </c>
      <c r="S38" s="14">
        <f t="shared" si="47"/>
        <v>1</v>
      </c>
      <c r="T38" s="14">
        <f>IF(V38+V39+V40&gt;=2,1,0)</f>
        <v>1</v>
      </c>
      <c r="U38" s="14" t="s">
        <v>42</v>
      </c>
      <c r="V38" s="14">
        <f t="shared" si="47"/>
        <v>1</v>
      </c>
      <c r="W38" s="14">
        <f t="shared" si="47"/>
        <v>1</v>
      </c>
      <c r="X38" s="14">
        <f t="shared" si="47"/>
        <v>1</v>
      </c>
      <c r="Y38" s="14">
        <f>IF(Z38+Z39+Z40&gt;=2,1,0)</f>
        <v>0</v>
      </c>
      <c r="Z38" s="3"/>
    </row>
    <row r="39" spans="4:36" x14ac:dyDescent="0.25">
      <c r="E39" s="1" t="s">
        <v>50</v>
      </c>
      <c r="G39" t="str">
        <f t="shared" ref="G39:Y39" si="48">G10</f>
        <v>1</v>
      </c>
      <c r="H39" t="str">
        <f t="shared" si="48"/>
        <v>1</v>
      </c>
      <c r="I39" t="str">
        <f t="shared" si="48"/>
        <v>0</v>
      </c>
      <c r="J39" t="str">
        <f t="shared" si="48"/>
        <v>0</v>
      </c>
      <c r="K39" t="str">
        <f t="shared" si="48"/>
        <v>.</v>
      </c>
      <c r="L39" t="str">
        <f t="shared" si="48"/>
        <v>0</v>
      </c>
      <c r="M39" t="str">
        <f t="shared" si="48"/>
        <v>0</v>
      </c>
      <c r="N39" t="str">
        <f t="shared" si="48"/>
        <v>0</v>
      </c>
      <c r="O39" t="str">
        <f t="shared" si="48"/>
        <v>1</v>
      </c>
      <c r="P39" t="str">
        <f t="shared" si="48"/>
        <v>.</v>
      </c>
      <c r="Q39" t="str">
        <f t="shared" si="48"/>
        <v>0</v>
      </c>
      <c r="R39" t="str">
        <f t="shared" si="48"/>
        <v>0</v>
      </c>
      <c r="S39" t="str">
        <f t="shared" si="48"/>
        <v>1</v>
      </c>
      <c r="T39" t="str">
        <f t="shared" si="48"/>
        <v>0</v>
      </c>
      <c r="U39" t="str">
        <f t="shared" si="48"/>
        <v>.</v>
      </c>
      <c r="V39" t="str">
        <f t="shared" si="48"/>
        <v>1</v>
      </c>
      <c r="W39" t="str">
        <f t="shared" si="48"/>
        <v>1</v>
      </c>
      <c r="X39" t="str">
        <f t="shared" si="48"/>
        <v>1</v>
      </c>
      <c r="Y39" t="str">
        <f t="shared" si="48"/>
        <v>1</v>
      </c>
      <c r="Z39" s="3"/>
      <c r="AE39" s="1" t="s">
        <v>65</v>
      </c>
      <c r="AG39">
        <f>C10</f>
        <v>-16081</v>
      </c>
      <c r="AJ39" s="15" t="s">
        <v>72</v>
      </c>
    </row>
    <row r="40" spans="4:36" x14ac:dyDescent="0.25">
      <c r="D40" t="s">
        <v>48</v>
      </c>
      <c r="E40" s="1" t="s">
        <v>51</v>
      </c>
      <c r="G40" t="str">
        <f t="shared" ref="G40:Y40" si="49">G11</f>
        <v>1</v>
      </c>
      <c r="H40" t="str">
        <f t="shared" si="49"/>
        <v>0</v>
      </c>
      <c r="I40" t="str">
        <f t="shared" si="49"/>
        <v>1</v>
      </c>
      <c r="J40" t="str">
        <f t="shared" si="49"/>
        <v>1</v>
      </c>
      <c r="K40" t="str">
        <f t="shared" si="49"/>
        <v>.</v>
      </c>
      <c r="L40" t="str">
        <f t="shared" si="49"/>
        <v>1</v>
      </c>
      <c r="M40" t="str">
        <f t="shared" si="49"/>
        <v>1</v>
      </c>
      <c r="N40" t="str">
        <f t="shared" si="49"/>
        <v>1</v>
      </c>
      <c r="O40" t="str">
        <f t="shared" si="49"/>
        <v>1</v>
      </c>
      <c r="P40" t="str">
        <f t="shared" si="49"/>
        <v>.</v>
      </c>
      <c r="Q40" t="str">
        <f t="shared" si="49"/>
        <v>1</v>
      </c>
      <c r="R40" t="str">
        <f t="shared" si="49"/>
        <v>0</v>
      </c>
      <c r="S40" t="str">
        <f t="shared" si="49"/>
        <v>0</v>
      </c>
      <c r="T40" t="str">
        <f t="shared" si="49"/>
        <v>1</v>
      </c>
      <c r="U40" t="str">
        <f t="shared" si="49"/>
        <v>.</v>
      </c>
      <c r="V40" t="str">
        <f t="shared" si="49"/>
        <v>1</v>
      </c>
      <c r="W40" t="str">
        <f t="shared" si="49"/>
        <v>0</v>
      </c>
      <c r="X40" t="str">
        <f t="shared" si="49"/>
        <v>0</v>
      </c>
      <c r="Y40" t="str">
        <f t="shared" si="49"/>
        <v>1</v>
      </c>
      <c r="Z40" s="3"/>
      <c r="AD40" t="s">
        <v>48</v>
      </c>
      <c r="AE40" s="1" t="s">
        <v>66</v>
      </c>
      <c r="AG40">
        <f>C11</f>
        <v>-16487</v>
      </c>
      <c r="AJ40" s="15"/>
    </row>
    <row r="41" spans="4:36" x14ac:dyDescent="0.25">
      <c r="E41" s="1" t="s">
        <v>45</v>
      </c>
      <c r="F41" t="s">
        <v>45</v>
      </c>
      <c r="G41" t="s">
        <v>46</v>
      </c>
      <c r="H41" t="s">
        <v>46</v>
      </c>
      <c r="I41" t="s">
        <v>46</v>
      </c>
      <c r="J41" t="s">
        <v>46</v>
      </c>
      <c r="K41" t="s">
        <v>46</v>
      </c>
      <c r="L41" t="s">
        <v>46</v>
      </c>
      <c r="M41" t="s">
        <v>46</v>
      </c>
      <c r="N41" t="s">
        <v>46</v>
      </c>
      <c r="O41" t="s">
        <v>46</v>
      </c>
      <c r="P41" t="s">
        <v>46</v>
      </c>
      <c r="Q41" t="s">
        <v>46</v>
      </c>
      <c r="R41" t="s">
        <v>46</v>
      </c>
      <c r="S41" t="s">
        <v>46</v>
      </c>
      <c r="T41" t="s">
        <v>46</v>
      </c>
      <c r="U41" t="s">
        <v>46</v>
      </c>
      <c r="V41" t="s">
        <v>46</v>
      </c>
      <c r="W41" t="s">
        <v>46</v>
      </c>
      <c r="X41" t="s">
        <v>46</v>
      </c>
      <c r="Y41" t="s">
        <v>46</v>
      </c>
      <c r="Z41" s="3"/>
      <c r="AE41" s="12" t="s">
        <v>61</v>
      </c>
      <c r="AF41" s="5" t="s">
        <v>61</v>
      </c>
      <c r="AG41" s="5" t="s">
        <v>62</v>
      </c>
      <c r="AJ41" s="15"/>
    </row>
    <row r="42" spans="4:36" ht="18" x14ac:dyDescent="0.35">
      <c r="E42" s="1"/>
      <c r="G42">
        <f t="shared" ref="G42:R42" si="50">IF(G38+G39+G40=2,0,IF(OR(G38+G39+G40=1,G38+G39+G40=3),1,0))</f>
        <v>1</v>
      </c>
      <c r="H42">
        <f t="shared" si="50"/>
        <v>0</v>
      </c>
      <c r="I42">
        <f t="shared" si="50"/>
        <v>0</v>
      </c>
      <c r="J42">
        <f t="shared" si="50"/>
        <v>0</v>
      </c>
      <c r="K42" t="s">
        <v>42</v>
      </c>
      <c r="L42">
        <f t="shared" si="50"/>
        <v>0</v>
      </c>
      <c r="M42">
        <f t="shared" si="50"/>
        <v>0</v>
      </c>
      <c r="N42">
        <f t="shared" si="50"/>
        <v>0</v>
      </c>
      <c r="O42">
        <f t="shared" si="50"/>
        <v>0</v>
      </c>
      <c r="P42" t="s">
        <v>42</v>
      </c>
      <c r="Q42">
        <f t="shared" si="50"/>
        <v>1</v>
      </c>
      <c r="R42">
        <f t="shared" si="50"/>
        <v>1</v>
      </c>
      <c r="S42">
        <f>IF(S38+S39+S40=2,0,IF(OR(S38+S39+S40=1,S38+S39+S40=3),1,0))</f>
        <v>0</v>
      </c>
      <c r="T42">
        <f>IF(T38+T39+T40=2,0,IF(OR(T38+T39+T40=1,T38+T39+T40=3),1,0))</f>
        <v>0</v>
      </c>
      <c r="U42" t="s">
        <v>42</v>
      </c>
      <c r="V42">
        <f t="shared" ref="V42:Y42" si="51">IF(V38+V39+V40=2,0,IF(OR(V38+V39+V40=1,V38+V39+V40=3),1,0))</f>
        <v>1</v>
      </c>
      <c r="W42">
        <f t="shared" si="51"/>
        <v>0</v>
      </c>
      <c r="X42">
        <f t="shared" si="51"/>
        <v>0</v>
      </c>
      <c r="Y42">
        <f t="shared" si="51"/>
        <v>0</v>
      </c>
      <c r="Z42" s="3" t="s">
        <v>69</v>
      </c>
      <c r="AA42">
        <f>-BIN2DEC(_xlfn.NUMBERVALUE(G42))*2^15+BIN2DEC(_xlfn.NUMBERVALUE(H42&amp;I42&amp;J42&amp;L42&amp;M42&amp;N42&amp;O42))*2^8+BIN2DEC(_xlfn.NUMBERVALUE(Q42&amp;R42&amp;S42&amp;T42&amp;V42&amp;W42&amp;X42&amp;Y42))</f>
        <v>-32568</v>
      </c>
      <c r="AG42">
        <f>AG39+AG40</f>
        <v>-32568</v>
      </c>
      <c r="AH42" s="9" t="s">
        <v>63</v>
      </c>
      <c r="AJ42" s="15"/>
    </row>
    <row r="43" spans="4:36" x14ac:dyDescent="0.25">
      <c r="E43" s="1"/>
      <c r="Z43" s="3"/>
    </row>
    <row r="44" spans="4:36" x14ac:dyDescent="0.25">
      <c r="E44" s="1"/>
      <c r="H44" t="s">
        <v>47</v>
      </c>
      <c r="J44">
        <f>IF(G38+G39+G40&gt;=2,1,0)</f>
        <v>1</v>
      </c>
      <c r="M44" t="s">
        <v>54</v>
      </c>
      <c r="O44" cm="1">
        <f t="array" ref="O44">IF(MOD(SUM(Q42:T42+V42:Y42),2)=0,1,0)</f>
        <v>0</v>
      </c>
      <c r="R44" t="s">
        <v>55</v>
      </c>
      <c r="T44">
        <f>T38</f>
        <v>1</v>
      </c>
      <c r="W44" t="s">
        <v>56</v>
      </c>
      <c r="Y44" cm="1">
        <f t="array" ref="Y44">IF(SUM(G42:J42+L42:O42+Q42:T42+V42:Y42)=0,1,0)</f>
        <v>0</v>
      </c>
      <c r="Z44" s="3"/>
      <c r="AA44" s="1" t="s">
        <v>57</v>
      </c>
      <c r="AB44">
        <f>G42</f>
        <v>1</v>
      </c>
      <c r="AC44" s="1" t="s">
        <v>58</v>
      </c>
      <c r="AD44">
        <f>IF(_xlfn.BITXOR(G39,G40)=1,0,IF(_xlfn.NUMBERVALUE(G108)=_xlfn.NUMBERVALUE(G42),0,1))</f>
        <v>1</v>
      </c>
    </row>
    <row r="45" spans="4:36" x14ac:dyDescent="0.25">
      <c r="E45" s="1"/>
      <c r="G45" s="14">
        <f t="shared" ref="G45:X45" si="52">IF(H45+H46+H47&gt;=2,1,0)</f>
        <v>0</v>
      </c>
      <c r="H45" s="14">
        <f t="shared" si="52"/>
        <v>1</v>
      </c>
      <c r="I45" s="14">
        <f t="shared" si="52"/>
        <v>1</v>
      </c>
      <c r="J45" s="14">
        <f>IF(L45+L46+L47&gt;=2,1,0)</f>
        <v>1</v>
      </c>
      <c r="K45" s="14" t="s">
        <v>42</v>
      </c>
      <c r="L45" s="14">
        <f t="shared" si="52"/>
        <v>1</v>
      </c>
      <c r="M45" s="14">
        <f t="shared" si="52"/>
        <v>1</v>
      </c>
      <c r="N45" s="14">
        <f t="shared" si="52"/>
        <v>1</v>
      </c>
      <c r="O45" s="14">
        <f>IF(Q45+Q46+Q47&gt;=2,1,0)</f>
        <v>1</v>
      </c>
      <c r="P45" s="14" t="s">
        <v>42</v>
      </c>
      <c r="Q45" s="14">
        <f t="shared" si="52"/>
        <v>0</v>
      </c>
      <c r="R45" s="14">
        <f t="shared" si="52"/>
        <v>0</v>
      </c>
      <c r="S45" s="14">
        <f t="shared" si="52"/>
        <v>1</v>
      </c>
      <c r="T45" s="14">
        <f>IF(V45+V46+V47&gt;=2,1,0)</f>
        <v>1</v>
      </c>
      <c r="U45" s="14" t="s">
        <v>42</v>
      </c>
      <c r="V45" s="14">
        <f t="shared" si="52"/>
        <v>0</v>
      </c>
      <c r="W45" s="14">
        <f t="shared" si="52"/>
        <v>0</v>
      </c>
      <c r="X45" s="14">
        <f t="shared" si="52"/>
        <v>0</v>
      </c>
      <c r="Y45" s="14">
        <f>IF(Z45+Z46+Z47&gt;=2,1,0)</f>
        <v>0</v>
      </c>
      <c r="Z45" s="3"/>
    </row>
    <row r="46" spans="4:36" x14ac:dyDescent="0.25">
      <c r="E46" s="1" t="s">
        <v>51</v>
      </c>
      <c r="G46" t="str">
        <f t="shared" ref="G46:Y46" si="53">G11</f>
        <v>1</v>
      </c>
      <c r="H46" t="str">
        <f t="shared" si="53"/>
        <v>0</v>
      </c>
      <c r="I46" t="str">
        <f t="shared" si="53"/>
        <v>1</v>
      </c>
      <c r="J46" t="str">
        <f t="shared" si="53"/>
        <v>1</v>
      </c>
      <c r="K46" t="str">
        <f t="shared" si="53"/>
        <v>.</v>
      </c>
      <c r="L46" t="str">
        <f t="shared" si="53"/>
        <v>1</v>
      </c>
      <c r="M46" t="str">
        <f t="shared" si="53"/>
        <v>1</v>
      </c>
      <c r="N46" t="str">
        <f t="shared" si="53"/>
        <v>1</v>
      </c>
      <c r="O46" t="str">
        <f t="shared" si="53"/>
        <v>1</v>
      </c>
      <c r="P46" t="str">
        <f t="shared" si="53"/>
        <v>.</v>
      </c>
      <c r="Q46" t="str">
        <f t="shared" si="53"/>
        <v>1</v>
      </c>
      <c r="R46" t="str">
        <f t="shared" si="53"/>
        <v>0</v>
      </c>
      <c r="S46" t="str">
        <f t="shared" si="53"/>
        <v>0</v>
      </c>
      <c r="T46" t="str">
        <f t="shared" si="53"/>
        <v>1</v>
      </c>
      <c r="U46" t="str">
        <f t="shared" si="53"/>
        <v>.</v>
      </c>
      <c r="V46" t="str">
        <f t="shared" si="53"/>
        <v>1</v>
      </c>
      <c r="W46" t="str">
        <f t="shared" si="53"/>
        <v>0</v>
      </c>
      <c r="X46" t="str">
        <f t="shared" si="53"/>
        <v>0</v>
      </c>
      <c r="Y46" t="str">
        <f t="shared" si="53"/>
        <v>1</v>
      </c>
      <c r="Z46" s="3"/>
      <c r="AE46" s="1" t="s">
        <v>66</v>
      </c>
      <c r="AG46">
        <f>C11</f>
        <v>-16487</v>
      </c>
      <c r="AJ46" s="15" t="s">
        <v>73</v>
      </c>
    </row>
    <row r="47" spans="4:36" x14ac:dyDescent="0.25">
      <c r="D47" t="s">
        <v>48</v>
      </c>
      <c r="E47" s="1" t="s">
        <v>52</v>
      </c>
      <c r="G47" t="str">
        <f t="shared" ref="G47:Y47" si="54">G12</f>
        <v>1</v>
      </c>
      <c r="H47" t="str">
        <f t="shared" si="54"/>
        <v>0</v>
      </c>
      <c r="I47" t="str">
        <f t="shared" si="54"/>
        <v>0</v>
      </c>
      <c r="J47" t="str">
        <f t="shared" si="54"/>
        <v>0</v>
      </c>
      <c r="K47" t="str">
        <f t="shared" si="54"/>
        <v>.</v>
      </c>
      <c r="L47" t="str">
        <f t="shared" si="54"/>
        <v>0</v>
      </c>
      <c r="M47" t="str">
        <f t="shared" si="54"/>
        <v>0</v>
      </c>
      <c r="N47" t="str">
        <f t="shared" si="54"/>
        <v>0</v>
      </c>
      <c r="O47" t="str">
        <f t="shared" si="54"/>
        <v>0</v>
      </c>
      <c r="P47" t="str">
        <f t="shared" si="54"/>
        <v>.</v>
      </c>
      <c r="Q47" t="str">
        <f t="shared" si="54"/>
        <v>1</v>
      </c>
      <c r="R47" t="str">
        <f t="shared" si="54"/>
        <v>1</v>
      </c>
      <c r="S47" t="str">
        <f t="shared" si="54"/>
        <v>0</v>
      </c>
      <c r="T47" t="str">
        <f t="shared" si="54"/>
        <v>0</v>
      </c>
      <c r="U47" t="str">
        <f t="shared" si="54"/>
        <v>.</v>
      </c>
      <c r="V47" t="str">
        <f t="shared" si="54"/>
        <v>1</v>
      </c>
      <c r="W47" t="str">
        <f t="shared" si="54"/>
        <v>0</v>
      </c>
      <c r="X47" t="str">
        <f t="shared" si="54"/>
        <v>0</v>
      </c>
      <c r="Y47" t="str">
        <f t="shared" si="54"/>
        <v>0</v>
      </c>
      <c r="Z47" s="3"/>
      <c r="AD47" t="s">
        <v>48</v>
      </c>
      <c r="AE47" s="1" t="s">
        <v>67</v>
      </c>
      <c r="AG47">
        <f>C12</f>
        <v>-32568</v>
      </c>
      <c r="AJ47" s="15"/>
    </row>
    <row r="48" spans="4:36" x14ac:dyDescent="0.25">
      <c r="E48" s="1" t="s">
        <v>45</v>
      </c>
      <c r="F48" t="s">
        <v>45</v>
      </c>
      <c r="G48" t="s">
        <v>46</v>
      </c>
      <c r="H48" t="s">
        <v>46</v>
      </c>
      <c r="I48" t="s">
        <v>46</v>
      </c>
      <c r="J48" t="s">
        <v>46</v>
      </c>
      <c r="K48" t="s">
        <v>46</v>
      </c>
      <c r="L48" t="s">
        <v>46</v>
      </c>
      <c r="M48" t="s">
        <v>46</v>
      </c>
      <c r="N48" t="s">
        <v>46</v>
      </c>
      <c r="O48" t="s">
        <v>46</v>
      </c>
      <c r="P48" t="s">
        <v>46</v>
      </c>
      <c r="Q48" t="s">
        <v>46</v>
      </c>
      <c r="R48" t="s">
        <v>46</v>
      </c>
      <c r="S48" t="s">
        <v>46</v>
      </c>
      <c r="T48" t="s">
        <v>46</v>
      </c>
      <c r="U48" t="s">
        <v>46</v>
      </c>
      <c r="V48" t="s">
        <v>46</v>
      </c>
      <c r="W48" t="s">
        <v>46</v>
      </c>
      <c r="X48" t="s">
        <v>46</v>
      </c>
      <c r="Y48" t="s">
        <v>46</v>
      </c>
      <c r="Z48" s="3"/>
      <c r="AE48" s="12" t="s">
        <v>61</v>
      </c>
      <c r="AF48" s="5" t="s">
        <v>61</v>
      </c>
      <c r="AG48" s="5" t="s">
        <v>62</v>
      </c>
      <c r="AJ48" s="15"/>
    </row>
    <row r="49" spans="4:36" ht="18" x14ac:dyDescent="0.35">
      <c r="E49" s="1"/>
      <c r="G49">
        <f t="shared" ref="G49:R49" si="55">IF(G45+G46+G47=2,0,IF(OR(G45+G46+G47=1,G45+G46+G47=3),1,0))</f>
        <v>0</v>
      </c>
      <c r="H49">
        <f t="shared" si="55"/>
        <v>1</v>
      </c>
      <c r="I49">
        <f t="shared" si="55"/>
        <v>0</v>
      </c>
      <c r="J49">
        <f t="shared" si="55"/>
        <v>0</v>
      </c>
      <c r="K49" t="s">
        <v>42</v>
      </c>
      <c r="L49">
        <f t="shared" si="55"/>
        <v>0</v>
      </c>
      <c r="M49">
        <f t="shared" si="55"/>
        <v>0</v>
      </c>
      <c r="N49">
        <f t="shared" si="55"/>
        <v>0</v>
      </c>
      <c r="O49">
        <f t="shared" si="55"/>
        <v>0</v>
      </c>
      <c r="P49" t="s">
        <v>42</v>
      </c>
      <c r="Q49">
        <f t="shared" si="55"/>
        <v>0</v>
      </c>
      <c r="R49">
        <f t="shared" si="55"/>
        <v>1</v>
      </c>
      <c r="S49">
        <f>IF(S45+S46+S47=2,0,IF(OR(S45+S46+S47=1,S45+S46+S47=3),1,0))</f>
        <v>1</v>
      </c>
      <c r="T49">
        <f>IF(T45+T46+T47=2,0,IF(OR(T45+T46+T47=1,T45+T46+T47=3),1,0))</f>
        <v>0</v>
      </c>
      <c r="U49" t="s">
        <v>42</v>
      </c>
      <c r="V49">
        <f t="shared" ref="V49:Y49" si="56">IF(V45+V46+V47=2,0,IF(OR(V45+V46+V47=1,V45+V46+V47=3),1,0))</f>
        <v>0</v>
      </c>
      <c r="W49">
        <f t="shared" si="56"/>
        <v>0</v>
      </c>
      <c r="X49">
        <f t="shared" si="56"/>
        <v>0</v>
      </c>
      <c r="Y49">
        <f t="shared" si="56"/>
        <v>1</v>
      </c>
      <c r="Z49" s="3" t="s">
        <v>69</v>
      </c>
      <c r="AA49">
        <f>-BIN2DEC(_xlfn.NUMBERVALUE(G49))*2^15+BIN2DEC(_xlfn.NUMBERVALUE(H49&amp;I49&amp;J49&amp;L49&amp;M49&amp;N49&amp;O49))*2^8+BIN2DEC(_xlfn.NUMBERVALUE(Q49&amp;R49&amp;S49&amp;T49&amp;V49&amp;W49&amp;X49&amp;Y49))</f>
        <v>16481</v>
      </c>
      <c r="AG49">
        <f>AG46+AG47</f>
        <v>-49055</v>
      </c>
      <c r="AH49" s="9" t="s">
        <v>63</v>
      </c>
      <c r="AJ49" s="15"/>
    </row>
    <row r="50" spans="4:36" x14ac:dyDescent="0.25">
      <c r="E50" s="1"/>
      <c r="Z50" s="3"/>
    </row>
    <row r="51" spans="4:36" x14ac:dyDescent="0.25">
      <c r="E51" s="1"/>
      <c r="H51" t="s">
        <v>47</v>
      </c>
      <c r="J51">
        <f>IF(G45+G46+G47&gt;=2,1,0)</f>
        <v>1</v>
      </c>
      <c r="M51" t="s">
        <v>54</v>
      </c>
      <c r="O51" cm="1">
        <f t="array" ref="O51">IF(MOD(SUM(Q49:T49+V49:Y49),2)=0,1,0)</f>
        <v>0</v>
      </c>
      <c r="R51" t="s">
        <v>55</v>
      </c>
      <c r="T51">
        <f>T45</f>
        <v>1</v>
      </c>
      <c r="W51" t="s">
        <v>56</v>
      </c>
      <c r="Y51" cm="1">
        <f t="array" ref="Y51">IF(SUM(G49:J49+L49:O49+Q49:T49+V49:Y49)=0,1,0)</f>
        <v>0</v>
      </c>
      <c r="Z51" s="3"/>
      <c r="AA51" s="1" t="s">
        <v>57</v>
      </c>
      <c r="AB51">
        <f>G49</f>
        <v>0</v>
      </c>
      <c r="AC51" s="1" t="s">
        <v>58</v>
      </c>
      <c r="AD51">
        <f>IF(_xlfn.BITXOR(G46,G47)=1,0,IF(_xlfn.NUMBERVALUE(G115)=_xlfn.NUMBERVALUE(G49),1,0))</f>
        <v>1</v>
      </c>
    </row>
    <row r="52" spans="4:36" x14ac:dyDescent="0.25">
      <c r="E52" s="1"/>
      <c r="G52" s="14">
        <f t="shared" ref="G52:X52" si="57">IF(H52+H53+H54&gt;=2,1,0)</f>
        <v>0</v>
      </c>
      <c r="H52" s="14">
        <f t="shared" si="57"/>
        <v>1</v>
      </c>
      <c r="I52" s="14">
        <f t="shared" si="57"/>
        <v>1</v>
      </c>
      <c r="J52" s="14">
        <f>IF(L52+L53+L54&gt;=2,1,0)</f>
        <v>1</v>
      </c>
      <c r="K52" s="14" t="s">
        <v>42</v>
      </c>
      <c r="L52" s="14">
        <f t="shared" si="57"/>
        <v>1</v>
      </c>
      <c r="M52" s="14">
        <f t="shared" si="57"/>
        <v>1</v>
      </c>
      <c r="N52" s="14">
        <f t="shared" si="57"/>
        <v>1</v>
      </c>
      <c r="O52" s="14">
        <f>IF(Q52+Q53+Q54&gt;=2,1,0)</f>
        <v>1</v>
      </c>
      <c r="P52" s="14" t="s">
        <v>42</v>
      </c>
      <c r="Q52" s="14">
        <f t="shared" si="57"/>
        <v>0</v>
      </c>
      <c r="R52" s="14">
        <f t="shared" si="57"/>
        <v>0</v>
      </c>
      <c r="S52" s="14">
        <f t="shared" si="57"/>
        <v>1</v>
      </c>
      <c r="T52" s="14">
        <f>IF(V52+V53+V54&gt;=2,1,0)</f>
        <v>0</v>
      </c>
      <c r="U52" s="14" t="s">
        <v>42</v>
      </c>
      <c r="V52" s="14">
        <f t="shared" si="57"/>
        <v>0</v>
      </c>
      <c r="W52" s="14">
        <f t="shared" si="57"/>
        <v>0</v>
      </c>
      <c r="X52" s="14">
        <f t="shared" si="57"/>
        <v>1</v>
      </c>
      <c r="Y52" s="14">
        <f>IF(Z52+Z53+Z54&gt;=2,1,0)</f>
        <v>0</v>
      </c>
      <c r="Z52" s="3"/>
    </row>
    <row r="53" spans="4:36" x14ac:dyDescent="0.25">
      <c r="E53" s="1" t="s">
        <v>43</v>
      </c>
      <c r="G53" t="str">
        <f t="shared" ref="G53:Y53" si="58">G4</f>
        <v>0</v>
      </c>
      <c r="H53" t="str">
        <f t="shared" si="58"/>
        <v>0</v>
      </c>
      <c r="I53" t="str">
        <f t="shared" si="58"/>
        <v>1</v>
      </c>
      <c r="J53" t="str">
        <f t="shared" si="58"/>
        <v>1</v>
      </c>
      <c r="K53" t="str">
        <f t="shared" si="58"/>
        <v>.</v>
      </c>
      <c r="L53" t="str">
        <f t="shared" si="58"/>
        <v>1</v>
      </c>
      <c r="M53" t="str">
        <f t="shared" si="58"/>
        <v>1</v>
      </c>
      <c r="N53" t="str">
        <f t="shared" si="58"/>
        <v>1</v>
      </c>
      <c r="O53" t="str">
        <f t="shared" si="58"/>
        <v>0</v>
      </c>
      <c r="P53" t="str">
        <f t="shared" si="58"/>
        <v>.</v>
      </c>
      <c r="Q53" t="str">
        <f t="shared" si="58"/>
        <v>1</v>
      </c>
      <c r="R53" t="str">
        <f t="shared" si="58"/>
        <v>1</v>
      </c>
      <c r="S53" t="str">
        <f t="shared" si="58"/>
        <v>0</v>
      </c>
      <c r="T53" t="str">
        <f t="shared" si="58"/>
        <v>1</v>
      </c>
      <c r="U53" t="str">
        <f t="shared" si="58"/>
        <v>.</v>
      </c>
      <c r="V53" t="str">
        <f t="shared" si="58"/>
        <v>0</v>
      </c>
      <c r="W53" t="str">
        <f t="shared" si="58"/>
        <v>0</v>
      </c>
      <c r="X53" t="str">
        <f t="shared" si="58"/>
        <v>0</v>
      </c>
      <c r="Y53" t="str">
        <f t="shared" si="58"/>
        <v>1</v>
      </c>
      <c r="Z53" s="3"/>
      <c r="AE53" s="1" t="s">
        <v>59</v>
      </c>
      <c r="AG53">
        <f>C4</f>
        <v>16081</v>
      </c>
      <c r="AJ53" s="15" t="s">
        <v>75</v>
      </c>
    </row>
    <row r="54" spans="4:36" x14ac:dyDescent="0.25">
      <c r="D54" t="s">
        <v>48</v>
      </c>
      <c r="E54" s="1" t="s">
        <v>51</v>
      </c>
      <c r="G54" t="str">
        <f t="shared" ref="G54:Y54" si="59">G11</f>
        <v>1</v>
      </c>
      <c r="H54" t="str">
        <f t="shared" si="59"/>
        <v>0</v>
      </c>
      <c r="I54" t="str">
        <f t="shared" si="59"/>
        <v>1</v>
      </c>
      <c r="J54" t="str">
        <f t="shared" si="59"/>
        <v>1</v>
      </c>
      <c r="K54" t="str">
        <f t="shared" si="59"/>
        <v>.</v>
      </c>
      <c r="L54" t="str">
        <f t="shared" si="59"/>
        <v>1</v>
      </c>
      <c r="M54" t="str">
        <f t="shared" si="59"/>
        <v>1</v>
      </c>
      <c r="N54" t="str">
        <f t="shared" si="59"/>
        <v>1</v>
      </c>
      <c r="O54" t="str">
        <f t="shared" si="59"/>
        <v>1</v>
      </c>
      <c r="P54" t="str">
        <f t="shared" si="59"/>
        <v>.</v>
      </c>
      <c r="Q54" t="str">
        <f t="shared" si="59"/>
        <v>1</v>
      </c>
      <c r="R54" t="str">
        <f t="shared" si="59"/>
        <v>0</v>
      </c>
      <c r="S54" t="str">
        <f t="shared" si="59"/>
        <v>0</v>
      </c>
      <c r="T54" t="str">
        <f t="shared" si="59"/>
        <v>1</v>
      </c>
      <c r="U54" t="str">
        <f t="shared" si="59"/>
        <v>.</v>
      </c>
      <c r="V54" t="str">
        <f t="shared" si="59"/>
        <v>1</v>
      </c>
      <c r="W54" t="str">
        <f t="shared" si="59"/>
        <v>0</v>
      </c>
      <c r="X54" t="str">
        <f t="shared" si="59"/>
        <v>0</v>
      </c>
      <c r="Y54" t="str">
        <f t="shared" si="59"/>
        <v>1</v>
      </c>
      <c r="Z54" s="3"/>
      <c r="AD54" t="s">
        <v>48</v>
      </c>
      <c r="AE54" s="1" t="s">
        <v>66</v>
      </c>
      <c r="AG54">
        <f>C11</f>
        <v>-16487</v>
      </c>
      <c r="AJ54" s="15"/>
    </row>
    <row r="55" spans="4:36" x14ac:dyDescent="0.25">
      <c r="E55" s="1" t="s">
        <v>45</v>
      </c>
      <c r="F55" t="s">
        <v>45</v>
      </c>
      <c r="G55" t="s">
        <v>46</v>
      </c>
      <c r="H55" t="s">
        <v>46</v>
      </c>
      <c r="I55" t="s">
        <v>46</v>
      </c>
      <c r="J55" t="s">
        <v>46</v>
      </c>
      <c r="K55" t="s">
        <v>46</v>
      </c>
      <c r="L55" t="s">
        <v>46</v>
      </c>
      <c r="M55" t="s">
        <v>46</v>
      </c>
      <c r="N55" t="s">
        <v>46</v>
      </c>
      <c r="O55" t="s">
        <v>46</v>
      </c>
      <c r="P55" t="s">
        <v>46</v>
      </c>
      <c r="Q55" t="s">
        <v>46</v>
      </c>
      <c r="R55" t="s">
        <v>46</v>
      </c>
      <c r="S55" t="s">
        <v>46</v>
      </c>
      <c r="T55" t="s">
        <v>46</v>
      </c>
      <c r="U55" t="s">
        <v>46</v>
      </c>
      <c r="V55" t="s">
        <v>46</v>
      </c>
      <c r="W55" t="s">
        <v>46</v>
      </c>
      <c r="X55" t="s">
        <v>46</v>
      </c>
      <c r="Y55" t="s">
        <v>46</v>
      </c>
      <c r="Z55" s="3"/>
      <c r="AE55" s="12" t="s">
        <v>61</v>
      </c>
      <c r="AF55" s="5" t="s">
        <v>61</v>
      </c>
      <c r="AG55" s="5" t="s">
        <v>62</v>
      </c>
      <c r="AJ55" s="15"/>
    </row>
    <row r="56" spans="4:36" ht="18" x14ac:dyDescent="0.35">
      <c r="E56" s="1"/>
      <c r="G56">
        <f t="shared" ref="G56:R56" si="60">IF(G52+G53+G54=2,0,IF(OR(G52+G53+G54=1,G52+G53+G54=3),1,0))</f>
        <v>1</v>
      </c>
      <c r="H56">
        <f t="shared" si="60"/>
        <v>1</v>
      </c>
      <c r="I56">
        <f t="shared" si="60"/>
        <v>1</v>
      </c>
      <c r="J56">
        <f t="shared" si="60"/>
        <v>1</v>
      </c>
      <c r="K56" t="s">
        <v>42</v>
      </c>
      <c r="L56">
        <f t="shared" si="60"/>
        <v>1</v>
      </c>
      <c r="M56">
        <f t="shared" si="60"/>
        <v>1</v>
      </c>
      <c r="N56">
        <f t="shared" si="60"/>
        <v>1</v>
      </c>
      <c r="O56">
        <f t="shared" si="60"/>
        <v>0</v>
      </c>
      <c r="P56" t="s">
        <v>42</v>
      </c>
      <c r="Q56">
        <f t="shared" si="60"/>
        <v>0</v>
      </c>
      <c r="R56">
        <f t="shared" si="60"/>
        <v>1</v>
      </c>
      <c r="S56">
        <f>IF(S52+S53+S54=2,0,IF(OR(S52+S53+S54=1,S52+S53+S54=3),1,0))</f>
        <v>1</v>
      </c>
      <c r="T56">
        <f>IF(T52+T53+T54=2,0,IF(OR(T52+T53+T54=1,T52+T53+T54=3),1,0))</f>
        <v>0</v>
      </c>
      <c r="U56" t="s">
        <v>42</v>
      </c>
      <c r="V56">
        <f t="shared" ref="V56:Y56" si="61">IF(V52+V53+V54=2,0,IF(OR(V52+V53+V54=1,V52+V53+V54=3),1,0))</f>
        <v>1</v>
      </c>
      <c r="W56">
        <f t="shared" si="61"/>
        <v>0</v>
      </c>
      <c r="X56">
        <f t="shared" si="61"/>
        <v>1</v>
      </c>
      <c r="Y56">
        <f t="shared" si="61"/>
        <v>0</v>
      </c>
      <c r="Z56" s="3" t="s">
        <v>69</v>
      </c>
      <c r="AA56">
        <f>-BIN2DEC(_xlfn.NUMBERVALUE(G56))*2^15+BIN2DEC(_xlfn.NUMBERVALUE(H56&amp;I56&amp;J56&amp;L56&amp;M56&amp;N56&amp;O56))*2^8+BIN2DEC(_xlfn.NUMBERVALUE(Q56&amp;R56&amp;S56&amp;T56&amp;V56&amp;W56&amp;X56&amp;Y56))</f>
        <v>-406</v>
      </c>
      <c r="AG56">
        <f>AG53+AG54</f>
        <v>-406</v>
      </c>
      <c r="AH56" s="9" t="s">
        <v>63</v>
      </c>
      <c r="AJ56" s="15"/>
    </row>
    <row r="57" spans="4:36" x14ac:dyDescent="0.25">
      <c r="E57" s="1"/>
      <c r="Z57" s="3"/>
    </row>
    <row r="58" spans="4:36" x14ac:dyDescent="0.25">
      <c r="E58" s="1"/>
      <c r="H58" t="s">
        <v>47</v>
      </c>
      <c r="J58">
        <f>IF(G52+G53+G54&gt;=2,1,0)</f>
        <v>0</v>
      </c>
      <c r="M58" t="s">
        <v>54</v>
      </c>
      <c r="O58" cm="1">
        <f t="array" ref="O58">IF(MOD(SUM(Q56:T56+V56:Y56),2)=0,1,0)</f>
        <v>1</v>
      </c>
      <c r="R58" t="s">
        <v>55</v>
      </c>
      <c r="T58">
        <f>T52</f>
        <v>0</v>
      </c>
      <c r="W58" t="s">
        <v>56</v>
      </c>
      <c r="Y58" cm="1">
        <f t="array" ref="Y58">IF(SUM(G56:J56+L56:O56+Q56:T56+V56:Y56)=0,1,0)</f>
        <v>0</v>
      </c>
      <c r="Z58" s="3"/>
      <c r="AA58" s="1" t="s">
        <v>57</v>
      </c>
      <c r="AB58">
        <f>G56</f>
        <v>1</v>
      </c>
      <c r="AC58" s="1" t="s">
        <v>58</v>
      </c>
      <c r="AD58">
        <f>IF(_xlfn.BITXOR(G53,G54)=1,0,IF(_xlfn.NUMBERVALUE(G122)=_xlfn.NUMBERVALUE(G56),0,1))</f>
        <v>0</v>
      </c>
    </row>
    <row r="59" spans="4:36" x14ac:dyDescent="0.25">
      <c r="E59" s="1"/>
      <c r="G59" s="14">
        <f t="shared" ref="G59:X59" si="62">IF(H59+H60+H61&gt;=2,1,0)</f>
        <v>1</v>
      </c>
      <c r="H59" s="14">
        <f t="shared" si="62"/>
        <v>1</v>
      </c>
      <c r="I59" s="14">
        <f t="shared" si="62"/>
        <v>1</v>
      </c>
      <c r="J59" s="14">
        <f>IF(L59+L60+L61&gt;=2,1,0)</f>
        <v>1</v>
      </c>
      <c r="K59" s="14" t="s">
        <v>42</v>
      </c>
      <c r="L59" s="14">
        <f t="shared" si="62"/>
        <v>1</v>
      </c>
      <c r="M59" s="14">
        <f t="shared" si="62"/>
        <v>1</v>
      </c>
      <c r="N59" s="14">
        <f t="shared" si="62"/>
        <v>0</v>
      </c>
      <c r="O59" s="14">
        <f>IF(Q59+Q60+Q61&gt;=2,1,0)</f>
        <v>0</v>
      </c>
      <c r="P59" s="14" t="s">
        <v>42</v>
      </c>
      <c r="Q59" s="14">
        <f t="shared" si="62"/>
        <v>1</v>
      </c>
      <c r="R59" s="14">
        <f t="shared" si="62"/>
        <v>1</v>
      </c>
      <c r="S59" s="14">
        <f t="shared" si="62"/>
        <v>1</v>
      </c>
      <c r="T59" s="14">
        <f>IF(V59+V60+V61&gt;=2,1,0)</f>
        <v>1</v>
      </c>
      <c r="U59" s="14" t="s">
        <v>42</v>
      </c>
      <c r="V59" s="14">
        <f t="shared" si="62"/>
        <v>0</v>
      </c>
      <c r="W59" s="14">
        <f t="shared" si="62"/>
        <v>0</v>
      </c>
      <c r="X59" s="14">
        <f t="shared" si="62"/>
        <v>0</v>
      </c>
      <c r="Y59" s="14">
        <f>IF(Z59+Z60+Z61&gt;=2,1,0)</f>
        <v>0</v>
      </c>
      <c r="Z59" s="3"/>
    </row>
    <row r="60" spans="4:36" x14ac:dyDescent="0.25">
      <c r="E60" s="1" t="s">
        <v>53</v>
      </c>
      <c r="G60" t="str">
        <f t="shared" ref="G60:Y60" si="63">G14</f>
        <v>1</v>
      </c>
      <c r="H60" t="str">
        <f t="shared" si="63"/>
        <v>1</v>
      </c>
      <c r="I60" t="str">
        <f t="shared" si="63"/>
        <v>1</v>
      </c>
      <c r="J60" t="str">
        <f t="shared" si="63"/>
        <v>1</v>
      </c>
      <c r="K60" t="str">
        <f t="shared" si="63"/>
        <v>.</v>
      </c>
      <c r="L60" t="str">
        <f t="shared" si="63"/>
        <v>1</v>
      </c>
      <c r="M60" t="str">
        <f t="shared" si="63"/>
        <v>1</v>
      </c>
      <c r="N60" t="str">
        <f t="shared" si="63"/>
        <v>1</v>
      </c>
      <c r="O60" t="str">
        <f t="shared" si="63"/>
        <v>0</v>
      </c>
      <c r="P60" t="str">
        <f t="shared" si="63"/>
        <v>.</v>
      </c>
      <c r="Q60" t="str">
        <f t="shared" si="63"/>
        <v>0</v>
      </c>
      <c r="R60" t="str">
        <f t="shared" si="63"/>
        <v>1</v>
      </c>
      <c r="S60" t="str">
        <f t="shared" si="63"/>
        <v>1</v>
      </c>
      <c r="T60" t="str">
        <f t="shared" si="63"/>
        <v>0</v>
      </c>
      <c r="U60" t="str">
        <f t="shared" si="63"/>
        <v>.</v>
      </c>
      <c r="V60" t="str">
        <f t="shared" si="63"/>
        <v>1</v>
      </c>
      <c r="W60" t="str">
        <f t="shared" si="63"/>
        <v>0</v>
      </c>
      <c r="X60" t="str">
        <f t="shared" si="63"/>
        <v>1</v>
      </c>
      <c r="Y60" t="str">
        <f t="shared" si="63"/>
        <v>0</v>
      </c>
      <c r="Z60" s="3"/>
      <c r="AE60" s="1" t="s">
        <v>68</v>
      </c>
      <c r="AG60">
        <f>C14</f>
        <v>-406</v>
      </c>
      <c r="AJ60" s="15" t="s">
        <v>76</v>
      </c>
    </row>
    <row r="61" spans="4:36" x14ac:dyDescent="0.25">
      <c r="D61" t="s">
        <v>48</v>
      </c>
      <c r="E61" s="1" t="s">
        <v>49</v>
      </c>
      <c r="G61" t="str">
        <f t="shared" ref="G61:Y61" si="64">G6</f>
        <v>0</v>
      </c>
      <c r="H61" t="str">
        <f t="shared" si="64"/>
        <v>1</v>
      </c>
      <c r="I61" t="str">
        <f t="shared" si="64"/>
        <v>1</v>
      </c>
      <c r="J61" t="str">
        <f t="shared" si="64"/>
        <v>1</v>
      </c>
      <c r="K61" t="str">
        <f t="shared" si="64"/>
        <v>.</v>
      </c>
      <c r="L61" t="str">
        <f t="shared" si="64"/>
        <v>1</v>
      </c>
      <c r="M61" t="str">
        <f t="shared" si="64"/>
        <v>1</v>
      </c>
      <c r="N61" t="str">
        <f t="shared" si="64"/>
        <v>1</v>
      </c>
      <c r="O61" t="str">
        <f t="shared" si="64"/>
        <v>1</v>
      </c>
      <c r="P61" t="str">
        <f t="shared" si="64"/>
        <v>.</v>
      </c>
      <c r="Q61" t="str">
        <f t="shared" si="64"/>
        <v>0</v>
      </c>
      <c r="R61" t="str">
        <f t="shared" si="64"/>
        <v>0</v>
      </c>
      <c r="S61" t="str">
        <f t="shared" si="64"/>
        <v>1</v>
      </c>
      <c r="T61" t="str">
        <f t="shared" si="64"/>
        <v>1</v>
      </c>
      <c r="U61" t="str">
        <f t="shared" si="64"/>
        <v>.</v>
      </c>
      <c r="V61" t="str">
        <f t="shared" si="64"/>
        <v>1</v>
      </c>
      <c r="W61" t="str">
        <f t="shared" si="64"/>
        <v>0</v>
      </c>
      <c r="X61" t="str">
        <f t="shared" si="64"/>
        <v>0</v>
      </c>
      <c r="Y61" t="str">
        <f t="shared" si="64"/>
        <v>0</v>
      </c>
      <c r="Z61" s="3"/>
      <c r="AD61" t="s">
        <v>48</v>
      </c>
      <c r="AE61" s="1" t="s">
        <v>64</v>
      </c>
      <c r="AG61">
        <f>C6</f>
        <v>32568</v>
      </c>
      <c r="AJ61" s="15"/>
    </row>
    <row r="62" spans="4:36" x14ac:dyDescent="0.25">
      <c r="E62" s="1" t="s">
        <v>45</v>
      </c>
      <c r="F62" t="s">
        <v>45</v>
      </c>
      <c r="G62" t="s">
        <v>46</v>
      </c>
      <c r="H62" t="s">
        <v>46</v>
      </c>
      <c r="I62" t="s">
        <v>46</v>
      </c>
      <c r="J62" t="s">
        <v>46</v>
      </c>
      <c r="K62" t="s">
        <v>46</v>
      </c>
      <c r="L62" t="s">
        <v>46</v>
      </c>
      <c r="M62" t="s">
        <v>46</v>
      </c>
      <c r="N62" t="s">
        <v>46</v>
      </c>
      <c r="O62" t="s">
        <v>46</v>
      </c>
      <c r="P62" t="s">
        <v>46</v>
      </c>
      <c r="Q62" t="s">
        <v>46</v>
      </c>
      <c r="R62" t="s">
        <v>46</v>
      </c>
      <c r="S62" t="s">
        <v>46</v>
      </c>
      <c r="T62" t="s">
        <v>46</v>
      </c>
      <c r="U62" t="s">
        <v>46</v>
      </c>
      <c r="V62" t="s">
        <v>46</v>
      </c>
      <c r="W62" t="s">
        <v>46</v>
      </c>
      <c r="X62" t="s">
        <v>46</v>
      </c>
      <c r="Y62" t="s">
        <v>46</v>
      </c>
      <c r="Z62" s="3"/>
      <c r="AE62" s="12" t="s">
        <v>61</v>
      </c>
      <c r="AF62" s="5" t="s">
        <v>61</v>
      </c>
      <c r="AG62" s="5" t="s">
        <v>62</v>
      </c>
      <c r="AJ62" s="15"/>
    </row>
    <row r="63" spans="4:36" ht="18" x14ac:dyDescent="0.35">
      <c r="E63" s="1"/>
      <c r="G63">
        <f t="shared" ref="G63:R63" si="65">IF(G59+G60+G61=2,0,IF(OR(G59+G60+G61=1,G59+G60+G61=3),1,0))</f>
        <v>0</v>
      </c>
      <c r="H63">
        <f t="shared" si="65"/>
        <v>1</v>
      </c>
      <c r="I63">
        <f t="shared" si="65"/>
        <v>1</v>
      </c>
      <c r="J63">
        <f t="shared" si="65"/>
        <v>1</v>
      </c>
      <c r="K63" t="s">
        <v>42</v>
      </c>
      <c r="L63">
        <f t="shared" si="65"/>
        <v>1</v>
      </c>
      <c r="M63">
        <f t="shared" si="65"/>
        <v>1</v>
      </c>
      <c r="N63">
        <f t="shared" si="65"/>
        <v>0</v>
      </c>
      <c r="O63">
        <f t="shared" si="65"/>
        <v>1</v>
      </c>
      <c r="P63" t="s">
        <v>42</v>
      </c>
      <c r="Q63">
        <f t="shared" si="65"/>
        <v>1</v>
      </c>
      <c r="R63">
        <f t="shared" si="65"/>
        <v>0</v>
      </c>
      <c r="S63">
        <f>IF(S59+S60+S61=2,0,IF(OR(S59+S60+S61=1,S59+S60+S61=3),1,0))</f>
        <v>1</v>
      </c>
      <c r="T63">
        <f>IF(T59+T60+T61=2,0,IF(OR(T59+T60+T61=1,T59+T60+T61=3),1,0))</f>
        <v>0</v>
      </c>
      <c r="U63" t="s">
        <v>42</v>
      </c>
      <c r="V63">
        <f t="shared" ref="V63:Y63" si="66">IF(V59+V60+V61=2,0,IF(OR(V59+V60+V61=1,V59+V60+V61=3),1,0))</f>
        <v>0</v>
      </c>
      <c r="W63">
        <f t="shared" si="66"/>
        <v>0</v>
      </c>
      <c r="X63">
        <f t="shared" si="66"/>
        <v>1</v>
      </c>
      <c r="Y63">
        <f t="shared" si="66"/>
        <v>0</v>
      </c>
      <c r="Z63" s="3" t="s">
        <v>69</v>
      </c>
      <c r="AA63">
        <f>-BIN2DEC(_xlfn.NUMBERVALUE(G63))*2^15+BIN2DEC(_xlfn.NUMBERVALUE(H63&amp;I63&amp;J63&amp;L63&amp;M63&amp;N63&amp;O63))*2^8+BIN2DEC(_xlfn.NUMBERVALUE(Q63&amp;R63&amp;S63&amp;T63&amp;V63&amp;W63&amp;X63&amp;Y63))</f>
        <v>32162</v>
      </c>
      <c r="AG63">
        <f>AG60+AG61</f>
        <v>32162</v>
      </c>
      <c r="AH63" s="9" t="s">
        <v>63</v>
      </c>
      <c r="AJ63" s="15"/>
    </row>
    <row r="64" spans="4:36" x14ac:dyDescent="0.25">
      <c r="Z64" s="3"/>
    </row>
    <row r="65" spans="7:30" x14ac:dyDescent="0.25">
      <c r="H65" t="s">
        <v>47</v>
      </c>
      <c r="J65">
        <f>IF(G59+G60+G61&gt;=2,1,0)</f>
        <v>1</v>
      </c>
      <c r="M65" t="s">
        <v>54</v>
      </c>
      <c r="O65" cm="1">
        <f t="array" ref="O65">IF(MOD(SUM(Q63:T63+V63:Y63),2)=0,1,0)</f>
        <v>0</v>
      </c>
      <c r="R65" t="s">
        <v>55</v>
      </c>
      <c r="T65">
        <f>T59</f>
        <v>1</v>
      </c>
      <c r="W65" t="s">
        <v>56</v>
      </c>
      <c r="Y65" cm="1">
        <f t="array" ref="Y65">IF(SUM(G63:J63+L63:O63+Q63:T63+V63:Y63)=0,1,0)</f>
        <v>0</v>
      </c>
      <c r="AA65" s="1" t="s">
        <v>57</v>
      </c>
      <c r="AB65">
        <f>G63</f>
        <v>0</v>
      </c>
      <c r="AC65" s="1" t="s">
        <v>58</v>
      </c>
      <c r="AD65">
        <f>IF(_xlfn.BITXOR(G60,G61)=1,0,IF(_xlfn.NUMBERVALUE(G129)=_xlfn.NUMBERVALUE(G63),0,1))</f>
        <v>0</v>
      </c>
    </row>
    <row r="77" spans="7:30" x14ac:dyDescent="0.25"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</row>
    <row r="80" spans="7:30" x14ac:dyDescent="0.25">
      <c r="Y80" s="5"/>
    </row>
    <row r="83" spans="27:29" x14ac:dyDescent="0.25">
      <c r="AA83" s="1"/>
      <c r="AC83" s="1"/>
    </row>
  </sheetData>
  <mergeCells count="7">
    <mergeCell ref="AJ60:AJ63"/>
    <mergeCell ref="AJ18:AJ21"/>
    <mergeCell ref="AJ25:AJ28"/>
    <mergeCell ref="AJ32:AJ35"/>
    <mergeCell ref="AJ39:AJ42"/>
    <mergeCell ref="AJ46:AJ49"/>
    <mergeCell ref="AJ53:AJ56"/>
  </mergeCells>
  <pageMargins left="0.7" right="0.7" top="0.75" bottom="0.75" header="0.3" footer="0.3"/>
  <pageSetup paperSize="8" orientation="landscape" r:id="rId1"/>
  <headerFooter>
    <oddHeader>&amp;LДавааням Баясгалан&amp;CВариант №10&amp;R&amp;F</oddHeader>
    <oddFooter xml:space="preserve">&amp;R&amp;T &amp;D  </oddFooter>
  </headerFooter>
  <ignoredErrors>
    <ignoredError sqref="G13:Y13" formula="1"/>
    <ignoredError sqref="AH21 AH28 AH35 AH42 AH49 AH56 AH63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6C757200-F928-4639-A78A-235268F0F4C0}">
            <xm:f>NOT(ISERROR(SEARCH(0,G4)))</xm:f>
            <xm:f>0</xm:f>
            <x14:dxf>
              <font>
                <color rgb="FFFFFFFF"/>
              </font>
              <fill>
                <patternFill>
                  <bgColor rgb="FF70AD47"/>
                </patternFill>
              </fill>
            </x14:dxf>
          </x14:cfRule>
          <x14:cfRule type="containsText" priority="2" stopIfTrue="1" operator="containsText" id="{AC0198BD-47CB-4760-98C6-22A192478F4F}">
            <xm:f>NOT(ISERROR(SEARCH(1,G4)))</xm:f>
            <xm:f>1</xm:f>
            <x14:dxf>
              <font>
                <color rgb="FFFFFFFF"/>
              </font>
              <fill>
                <patternFill>
                  <bgColor rgb="FF4472C4"/>
                </patternFill>
              </fill>
            </x14:dxf>
          </x14:cfRule>
          <xm:sqref>G4:Y7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93B08-DCA1-4813-B944-101D9D1B8810}">
  <sheetPr codeName="Sheet2"/>
  <dimension ref="A3"/>
  <sheetViews>
    <sheetView workbookViewId="0">
      <selection activeCell="B21" sqref="B21"/>
    </sheetView>
  </sheetViews>
  <sheetFormatPr defaultRowHeight="15" x14ac:dyDescent="0.25"/>
  <cols>
    <col min="1" max="1" width="40.5703125" customWidth="1"/>
  </cols>
  <sheetData>
    <row r="3" spans="1:1" ht="16.5" x14ac:dyDescent="0.3">
      <c r="A3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SoR@ [    ]</dc:creator>
  <cp:lastModifiedBy>SoR@ </cp:lastModifiedBy>
  <dcterms:created xsi:type="dcterms:W3CDTF">2015-06-05T18:17:20Z</dcterms:created>
  <dcterms:modified xsi:type="dcterms:W3CDTF">2021-12-19T21:11:27Z</dcterms:modified>
</cp:coreProperties>
</file>